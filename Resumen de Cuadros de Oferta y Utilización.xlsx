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UFIRE\OneDrive\Desktop\Economía\UMG\8. Octavo Semestre\CUENTAS NACIONALES\"/>
    </mc:Choice>
  </mc:AlternateContent>
  <xr:revisionPtr revIDLastSave="0" documentId="13_ncr:1_{5425F484-AF0B-428B-B171-6BC8F9CDED3A}" xr6:coauthVersionLast="47" xr6:coauthVersionMax="47" xr10:uidLastSave="{00000000-0000-0000-0000-000000000000}"/>
  <bookViews>
    <workbookView xWindow="-120" yWindow="-120" windowWidth="20730" windowHeight="11160" activeTab="3" xr2:uid="{9699D02C-AE60-4ACF-9BC2-9A05321E829C}"/>
  </bookViews>
  <sheets>
    <sheet name=" Ganado bovino" sheetId="2" r:id="rId1"/>
    <sheet name=" Ganado bovino (oferta)" sheetId="3" r:id="rId2"/>
    <sheet name=" Ganado bovino (demanda)" sheetId="4" r:id="rId3"/>
    <sheet name="Agua" sheetId="5" r:id="rId4"/>
  </sheets>
  <externalReferences>
    <externalReference r:id="rId5"/>
    <externalReference r:id="rId6"/>
  </externalReferences>
  <definedNames>
    <definedName name="__123Graph_A" localSheetId="0" hidden="1">'[1]Prod. Agrícolas de Exportación'!#REF!</definedName>
    <definedName name="__123Graph_A" localSheetId="2" hidden="1">'[1]Prod. Agrícolas de Exportación'!#REF!</definedName>
    <definedName name="__123Graph_A" localSheetId="1" hidden="1">'[1]Prod. Agrícolas de Exportación'!#REF!</definedName>
    <definedName name="__123Graph_A" hidden="1">'[1]Prod. Agrícolas de Exportación'!#REF!</definedName>
    <definedName name="__123Graph_B" localSheetId="0" hidden="1">'[1]Prod. Agrícolas de Exportación'!#REF!</definedName>
    <definedName name="__123Graph_B" localSheetId="2" hidden="1">'[1]Prod. Agrícolas de Exportación'!#REF!</definedName>
    <definedName name="__123Graph_B" localSheetId="1" hidden="1">'[1]Prod. Agrícolas de Exportación'!#REF!</definedName>
    <definedName name="__123Graph_B" hidden="1">'[1]Prod. Agrícolas de Exportación'!#REF!</definedName>
    <definedName name="_xlnm._FilterDatabase" localSheetId="2" hidden="1">' Ganado bovino (demanda)'!$B$9:$F$55</definedName>
    <definedName name="_xlnm.Print_Area" localSheetId="0">' Ganado bovino'!$A$1:$I$62</definedName>
    <definedName name="_xlnm.Print_Area" localSheetId="2">' Ganado bovino (demanda)'!$A$1:$E$75</definedName>
    <definedName name="_xlnm.Print_Area" localSheetId="1">' Ganado bovino (oferta)'!$A$1:$H$57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1" i="5" l="1"/>
  <c r="B74" i="5"/>
  <c r="B46" i="5"/>
  <c r="B29" i="5"/>
  <c r="B80" i="5"/>
  <c r="B89" i="5"/>
  <c r="B100" i="5"/>
  <c r="B83" i="5"/>
  <c r="B7" i="5"/>
  <c r="B106" i="5"/>
  <c r="B109" i="5"/>
  <c r="B110" i="5"/>
  <c r="B107" i="5"/>
  <c r="B38" i="5"/>
  <c r="B65" i="5"/>
  <c r="B16" i="5"/>
  <c r="B8" i="5"/>
  <c r="B9" i="5"/>
  <c r="B43" i="5"/>
  <c r="B39" i="5"/>
  <c r="B28" i="5"/>
  <c r="B47" i="5"/>
  <c r="B57" i="5"/>
  <c r="B60" i="5"/>
  <c r="B81" i="5"/>
  <c r="B73" i="5"/>
  <c r="B62" i="5"/>
  <c r="B71" i="5"/>
  <c r="B104" i="5"/>
  <c r="B92" i="5"/>
  <c r="B103" i="5"/>
  <c r="B101" i="5"/>
  <c r="B52" i="5"/>
  <c r="B54" i="5"/>
  <c r="B85" i="5"/>
  <c r="B53" i="5"/>
  <c r="B99" i="5"/>
  <c r="B42" i="5"/>
  <c r="B55" i="5"/>
  <c r="B72" i="5"/>
  <c r="B91" i="5"/>
  <c r="B98" i="5"/>
  <c r="B14" i="5"/>
  <c r="B49" i="5"/>
  <c r="B58" i="5"/>
  <c r="B17" i="5"/>
  <c r="B25" i="5"/>
  <c r="B96" i="5"/>
  <c r="B67" i="5"/>
  <c r="B12" i="5"/>
  <c r="B36" i="5"/>
  <c r="B40" i="5"/>
  <c r="B69" i="5"/>
  <c r="B94" i="5"/>
  <c r="B51" i="5"/>
  <c r="B82" i="5"/>
  <c r="B95" i="5"/>
  <c r="B48" i="5"/>
  <c r="B68" i="5"/>
  <c r="B76" i="5"/>
  <c r="B19" i="5"/>
  <c r="B105" i="5"/>
  <c r="B24" i="5"/>
  <c r="B59" i="5"/>
  <c r="B26" i="5"/>
  <c r="B63" i="5"/>
  <c r="B37" i="5"/>
  <c r="B66" i="5"/>
  <c r="B27" i="5"/>
  <c r="B20" i="5"/>
  <c r="B15" i="5"/>
  <c r="B93" i="5"/>
  <c r="B78" i="5"/>
  <c r="B6" i="5"/>
  <c r="B18" i="5"/>
  <c r="B13" i="5"/>
  <c r="B41" i="5"/>
  <c r="B88" i="5"/>
  <c r="B23" i="5"/>
  <c r="B10" i="5"/>
  <c r="B86" i="5"/>
  <c r="B61" i="5"/>
  <c r="B79" i="5"/>
  <c r="B30" i="5"/>
  <c r="B102" i="5"/>
  <c r="B90" i="5"/>
  <c r="B108" i="5"/>
  <c r="B11" i="5"/>
  <c r="B70" i="5"/>
  <c r="B45" i="5"/>
  <c r="B87" i="5"/>
  <c r="B35" i="5"/>
  <c r="B84" i="5"/>
  <c r="B64" i="5"/>
  <c r="B75" i="5"/>
  <c r="B97" i="5"/>
  <c r="B77" i="5"/>
  <c r="B34" i="5"/>
  <c r="B44" i="5"/>
  <c r="B33" i="5"/>
  <c r="B50" i="5"/>
  <c r="B22" i="5"/>
  <c r="B32" i="5"/>
  <c r="B56" i="5"/>
  <c r="B31" i="5"/>
  <c r="B21" i="5"/>
  <c r="C12" i="2" l="1"/>
  <c r="E70" i="4"/>
  <c r="F70" i="4" s="1"/>
  <c r="B61" i="4"/>
  <c r="B62" i="4" s="1"/>
  <c r="B63" i="4" s="1"/>
  <c r="B64" i="4" s="1"/>
  <c r="B65" i="4" s="1"/>
  <c r="B66" i="4" s="1"/>
  <c r="B67" i="4" s="1"/>
  <c r="B68" i="4" s="1"/>
  <c r="B69" i="4" s="1"/>
  <c r="E49" i="4"/>
  <c r="F47" i="4" s="1"/>
  <c r="F48" i="4"/>
  <c r="D48" i="4"/>
  <c r="D47" i="4"/>
  <c r="F46" i="4"/>
  <c r="D46" i="4"/>
  <c r="D45" i="4"/>
  <c r="F44" i="4"/>
  <c r="D44" i="4"/>
  <c r="D43" i="4"/>
  <c r="F42" i="4"/>
  <c r="D42" i="4"/>
  <c r="D41" i="4"/>
  <c r="F40" i="4"/>
  <c r="D40" i="4"/>
  <c r="D39" i="4"/>
  <c r="F38" i="4"/>
  <c r="D38" i="4"/>
  <c r="F37" i="4"/>
  <c r="D37" i="4"/>
  <c r="F36" i="4"/>
  <c r="D36" i="4"/>
  <c r="F35" i="4"/>
  <c r="D35" i="4"/>
  <c r="F34" i="4"/>
  <c r="D34" i="4"/>
  <c r="F33" i="4"/>
  <c r="D33" i="4"/>
  <c r="F32" i="4"/>
  <c r="D32" i="4"/>
  <c r="F31" i="4"/>
  <c r="D31" i="4"/>
  <c r="F30" i="4"/>
  <c r="D30" i="4"/>
  <c r="F29" i="4"/>
  <c r="D29" i="4"/>
  <c r="F28" i="4"/>
  <c r="D28" i="4"/>
  <c r="F27" i="4"/>
  <c r="D27" i="4"/>
  <c r="F26" i="4"/>
  <c r="D26" i="4"/>
  <c r="F25" i="4"/>
  <c r="D25" i="4"/>
  <c r="F24" i="4"/>
  <c r="D24" i="4"/>
  <c r="F23" i="4"/>
  <c r="D23" i="4"/>
  <c r="F22" i="4"/>
  <c r="D22" i="4"/>
  <c r="F21" i="4"/>
  <c r="D21" i="4"/>
  <c r="F20" i="4"/>
  <c r="D20" i="4"/>
  <c r="F19" i="4"/>
  <c r="D19" i="4"/>
  <c r="F18" i="4"/>
  <c r="D18" i="4"/>
  <c r="F17" i="4"/>
  <c r="D17" i="4"/>
  <c r="F16" i="4"/>
  <c r="D16" i="4"/>
  <c r="F15" i="4"/>
  <c r="D15" i="4"/>
  <c r="F14" i="4"/>
  <c r="D14" i="4"/>
  <c r="F13" i="4"/>
  <c r="D13" i="4"/>
  <c r="F12" i="4"/>
  <c r="D12" i="4"/>
  <c r="F11" i="4"/>
  <c r="D11" i="4"/>
  <c r="F10" i="4"/>
  <c r="D10" i="4"/>
  <c r="F11" i="3"/>
  <c r="F10" i="3"/>
  <c r="B10" i="3"/>
  <c r="B11" i="3" s="1"/>
  <c r="F9" i="3"/>
  <c r="F13" i="3" s="1"/>
  <c r="D9" i="3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C11" i="2"/>
  <c r="H10" i="2"/>
  <c r="C10" i="2"/>
  <c r="F61" i="4" l="1"/>
  <c r="F63" i="4"/>
  <c r="F65" i="4"/>
  <c r="F67" i="4"/>
  <c r="F69" i="4"/>
  <c r="F39" i="4"/>
  <c r="F49" i="4" s="1"/>
  <c r="F41" i="4"/>
  <c r="F43" i="4"/>
  <c r="F45" i="4"/>
  <c r="F60" i="4"/>
  <c r="F62" i="4"/>
  <c r="F64" i="4"/>
  <c r="F66" i="4"/>
  <c r="F68" i="4"/>
</calcChain>
</file>

<file path=xl/sharedStrings.xml><?xml version="1.0" encoding="utf-8"?>
<sst xmlns="http://schemas.openxmlformats.org/spreadsheetml/2006/main" count="307" uniqueCount="206">
  <si>
    <t>Cría de ganado bovino</t>
  </si>
  <si>
    <t>Cuadro de oferta y utilización - COU -</t>
  </si>
  <si>
    <t>Millones de quetzales</t>
  </si>
  <si>
    <r>
      <t xml:space="preserve">Año 2023 </t>
    </r>
    <r>
      <rPr>
        <b/>
        <vertAlign val="superscript"/>
        <sz val="12"/>
        <rFont val="Arial"/>
        <family val="2"/>
      </rPr>
      <t>p/</t>
    </r>
  </si>
  <si>
    <t>Cuadrante de la oferta</t>
  </si>
  <si>
    <t>Cuadrante de la utilización</t>
  </si>
  <si>
    <t xml:space="preserve">  Código NPG 2/</t>
  </si>
  <si>
    <t>Producto</t>
  </si>
  <si>
    <t>Monto</t>
  </si>
  <si>
    <t>P021</t>
  </si>
  <si>
    <t>P011</t>
  </si>
  <si>
    <t>P024</t>
  </si>
  <si>
    <t>P026</t>
  </si>
  <si>
    <t>P096</t>
  </si>
  <si>
    <t>P033</t>
  </si>
  <si>
    <t>Ajuste CIF/FOB</t>
  </si>
  <si>
    <t>P052</t>
  </si>
  <si>
    <t>Total</t>
  </si>
  <si>
    <t>P054</t>
  </si>
  <si>
    <t>Fuente: Banco de Guatemala</t>
  </si>
  <si>
    <t>P059</t>
  </si>
  <si>
    <r>
      <rPr>
        <vertAlign val="superscript"/>
        <sz val="10"/>
        <rFont val="Arial"/>
        <family val="2"/>
      </rPr>
      <t>p/</t>
    </r>
    <r>
      <rPr>
        <sz val="11"/>
        <color theme="1"/>
        <rFont val="Aptos Narrow"/>
        <family val="2"/>
        <scheme val="minor"/>
      </rPr>
      <t xml:space="preserve"> Cifras preliminares</t>
    </r>
  </si>
  <si>
    <t>P060</t>
  </si>
  <si>
    <t>Nota:</t>
  </si>
  <si>
    <t>P064</t>
  </si>
  <si>
    <t>CIF</t>
  </si>
  <si>
    <t>Costo, seguro y flete</t>
  </si>
  <si>
    <t>P065</t>
  </si>
  <si>
    <t xml:space="preserve">FOB </t>
  </si>
  <si>
    <t>Libre a bordo</t>
  </si>
  <si>
    <t>P068</t>
  </si>
  <si>
    <t>P069</t>
  </si>
  <si>
    <t>P071</t>
  </si>
  <si>
    <t>P073</t>
  </si>
  <si>
    <t>P074</t>
  </si>
  <si>
    <t>P075</t>
  </si>
  <si>
    <t>Valor Agregado</t>
  </si>
  <si>
    <t>P084</t>
  </si>
  <si>
    <t>P091</t>
  </si>
  <si>
    <t>B1b</t>
  </si>
  <si>
    <t>Valor agregado bruto total / PIB</t>
  </si>
  <si>
    <t>P093</t>
  </si>
  <si>
    <t>D1</t>
  </si>
  <si>
    <t>Remuneración de los asalariados</t>
  </si>
  <si>
    <t>P094</t>
  </si>
  <si>
    <t>D11</t>
  </si>
  <si>
    <t>Sueldos y salarios</t>
  </si>
  <si>
    <t>P095</t>
  </si>
  <si>
    <t>D12</t>
  </si>
  <si>
    <t>Contribuciones sociales de los empleadores</t>
  </si>
  <si>
    <t>D29</t>
  </si>
  <si>
    <t>Otros impuestos sobre la producción</t>
  </si>
  <si>
    <t>P101</t>
  </si>
  <si>
    <t>D39</t>
  </si>
  <si>
    <t>Otras subvenciones a la producción</t>
  </si>
  <si>
    <t>P103</t>
  </si>
  <si>
    <t>B2b</t>
  </si>
  <si>
    <t>Excedente de explotación, bruto</t>
  </si>
  <si>
    <t>P105</t>
  </si>
  <si>
    <t>B3b</t>
  </si>
  <si>
    <t>Ingreso mixto, bruto</t>
  </si>
  <si>
    <t>P110</t>
  </si>
  <si>
    <t>P111</t>
  </si>
  <si>
    <t>P112</t>
  </si>
  <si>
    <t>P114</t>
  </si>
  <si>
    <t>Puestos de Trabajo</t>
  </si>
  <si>
    <t>P115</t>
  </si>
  <si>
    <t>P116</t>
  </si>
  <si>
    <t>P119</t>
  </si>
  <si>
    <t>P120</t>
  </si>
  <si>
    <t>P123</t>
  </si>
  <si>
    <t>P125</t>
  </si>
  <si>
    <t>P126</t>
  </si>
  <si>
    <t>P128</t>
  </si>
  <si>
    <t>P132</t>
  </si>
  <si>
    <t>P134</t>
  </si>
  <si>
    <t>P147</t>
  </si>
  <si>
    <r>
      <rPr>
        <vertAlign val="superscript"/>
        <sz val="10"/>
        <rFont val="Arial"/>
        <family val="2"/>
      </rPr>
      <t>2/</t>
    </r>
    <r>
      <rPr>
        <sz val="11"/>
        <color theme="1"/>
        <rFont val="Aptos Narrow"/>
        <family val="2"/>
        <scheme val="minor"/>
      </rPr>
      <t xml:space="preserve"> Nomenclatura de Productos para Guatemala</t>
    </r>
  </si>
  <si>
    <t>Guatemala: Cría de ganado bovino, excepto búfalos</t>
  </si>
  <si>
    <t>Cuadrante de la oferta del COU</t>
  </si>
  <si>
    <t>Ranking</t>
  </si>
  <si>
    <t>Participación (%)</t>
  </si>
  <si>
    <t>Leche cruda</t>
  </si>
  <si>
    <t>Otros productos de animales vivos</t>
  </si>
  <si>
    <t>Agua natural y distribución de agua natural</t>
  </si>
  <si>
    <t>Fuente: Elaboración propia a partir de datos del Banco de Guatemala</t>
  </si>
  <si>
    <t>Cuadrante de la demanda del COU</t>
  </si>
  <si>
    <t>Preparados para alimentación animal</t>
  </si>
  <si>
    <t>Tabaco y otras plantas no perennes</t>
  </si>
  <si>
    <t>Productos farmacéuticos</t>
  </si>
  <si>
    <t>Residuos y desechos</t>
  </si>
  <si>
    <t>Abonos, fertilizantes y pesticidas</t>
  </si>
  <si>
    <t>Otros servicios profesionales, científicos y técnicos</t>
  </si>
  <si>
    <t>Azúcar de caña sin refinar y refinada, melaza y los demás azúcares n.c.p.</t>
  </si>
  <si>
    <t>Gasolinas, diésel oil y fuel oils</t>
  </si>
  <si>
    <t>Servicios de Intermediación Financiera Medidos Indirectamente (SIFMI)</t>
  </si>
  <si>
    <t>Tabla 1</t>
  </si>
  <si>
    <t>Tabla 2</t>
  </si>
  <si>
    <t>Millones de quetzales y porcentaje</t>
  </si>
  <si>
    <t>AE001</t>
  </si>
  <si>
    <t>AE002</t>
  </si>
  <si>
    <t>AE003</t>
  </si>
  <si>
    <t>AE004</t>
  </si>
  <si>
    <t>AE005</t>
  </si>
  <si>
    <t>AE006</t>
  </si>
  <si>
    <t>AE007</t>
  </si>
  <si>
    <t>AE008</t>
  </si>
  <si>
    <t>AE009</t>
  </si>
  <si>
    <t>AE010</t>
  </si>
  <si>
    <t>AE011</t>
  </si>
  <si>
    <t>AE012</t>
  </si>
  <si>
    <t>AE013</t>
  </si>
  <si>
    <t>AE014</t>
  </si>
  <si>
    <t>AE015</t>
  </si>
  <si>
    <t>AE016</t>
  </si>
  <si>
    <t>AE017</t>
  </si>
  <si>
    <t>AE018</t>
  </si>
  <si>
    <t>AE019</t>
  </si>
  <si>
    <t>AE020</t>
  </si>
  <si>
    <t>AE021</t>
  </si>
  <si>
    <t>AE022</t>
  </si>
  <si>
    <t>AE023</t>
  </si>
  <si>
    <t>AE024</t>
  </si>
  <si>
    <t>AE025</t>
  </si>
  <si>
    <t>AE026</t>
  </si>
  <si>
    <t>AE027</t>
  </si>
  <si>
    <t>AE028</t>
  </si>
  <si>
    <t>AE029</t>
  </si>
  <si>
    <t>AE030</t>
  </si>
  <si>
    <t>AE031</t>
  </si>
  <si>
    <t>AE032</t>
  </si>
  <si>
    <t>AE033</t>
  </si>
  <si>
    <t>AE034</t>
  </si>
  <si>
    <t>AE035</t>
  </si>
  <si>
    <t>AE036</t>
  </si>
  <si>
    <t>AE037</t>
  </si>
  <si>
    <t>AE038</t>
  </si>
  <si>
    <t>AE039</t>
  </si>
  <si>
    <t>AE040</t>
  </si>
  <si>
    <t>AE041</t>
  </si>
  <si>
    <t>AE042</t>
  </si>
  <si>
    <t>AE043</t>
  </si>
  <si>
    <t>AE044</t>
  </si>
  <si>
    <t>AE045</t>
  </si>
  <si>
    <t>AE046</t>
  </si>
  <si>
    <t>AE047</t>
  </si>
  <si>
    <t>AE048</t>
  </si>
  <si>
    <t>AE049</t>
  </si>
  <si>
    <t>AE050</t>
  </si>
  <si>
    <t>AE051</t>
  </si>
  <si>
    <t>AE052</t>
  </si>
  <si>
    <t>AE053</t>
  </si>
  <si>
    <t>AE054</t>
  </si>
  <si>
    <t>AE055</t>
  </si>
  <si>
    <t>AE056</t>
  </si>
  <si>
    <t>AE057</t>
  </si>
  <si>
    <t>AE058</t>
  </si>
  <si>
    <t>AE059</t>
  </si>
  <si>
    <t>AE060</t>
  </si>
  <si>
    <t>AE061</t>
  </si>
  <si>
    <t>AE062</t>
  </si>
  <si>
    <t>AE063</t>
  </si>
  <si>
    <t>AE064</t>
  </si>
  <si>
    <t>AE065</t>
  </si>
  <si>
    <t>AE066</t>
  </si>
  <si>
    <t>AE067</t>
  </si>
  <si>
    <t>AE068</t>
  </si>
  <si>
    <t>AE069</t>
  </si>
  <si>
    <t>AE070</t>
  </si>
  <si>
    <t>AE071</t>
  </si>
  <si>
    <t>AE072</t>
  </si>
  <si>
    <t>AE073</t>
  </si>
  <si>
    <t>AE074</t>
  </si>
  <si>
    <t>AE075</t>
  </si>
  <si>
    <t>AE076</t>
  </si>
  <si>
    <t>AE077</t>
  </si>
  <si>
    <t>AE078</t>
  </si>
  <si>
    <t>AE079</t>
  </si>
  <si>
    <t>AE080</t>
  </si>
  <si>
    <t>AE081</t>
  </si>
  <si>
    <t>AE082</t>
  </si>
  <si>
    <t>AE083</t>
  </si>
  <si>
    <t>AE084</t>
  </si>
  <si>
    <t>AE085</t>
  </si>
  <si>
    <t>AE086</t>
  </si>
  <si>
    <t>AE087</t>
  </si>
  <si>
    <t>AE088</t>
  </si>
  <si>
    <t>AE089</t>
  </si>
  <si>
    <t>AE090</t>
  </si>
  <si>
    <t>AE091</t>
  </si>
  <si>
    <t>AE092</t>
  </si>
  <si>
    <t>AE093</t>
  </si>
  <si>
    <t>AE094</t>
  </si>
  <si>
    <t>AE095</t>
  </si>
  <si>
    <t>AE096</t>
  </si>
  <si>
    <t>AE097</t>
  </si>
  <si>
    <t>AE098</t>
  </si>
  <si>
    <t>AE099</t>
  </si>
  <si>
    <t>AE100</t>
  </si>
  <si>
    <t>AE101</t>
  </si>
  <si>
    <t>AE102</t>
  </si>
  <si>
    <t>AE103</t>
  </si>
  <si>
    <t>AE104</t>
  </si>
  <si>
    <t>AE105</t>
  </si>
  <si>
    <t>Actividad</t>
  </si>
  <si>
    <t>Activdad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</si>
</sst>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vertAlign val="superscript"/>
      <sz val="12"/>
      <name val="Arial"/>
      <family val="2"/>
    </font>
    <font>
      <b/>
      <sz val="10"/>
      <color theme="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1383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" fillId="0" borderId="0">
      <alignment vertical="top"/>
    </xf>
  </cellStyleXfs>
  <cellXfs count="106">
    <xf numFmtId="0" fontId="0" fillId="0" borderId="0" xfId="0"/>
    <xf numFmtId="0" fontId="1" fillId="0" borderId="0" xfId="1">
      <alignment vertical="top"/>
    </xf>
    <xf numFmtId="0" fontId="1" fillId="0" borderId="0" xfId="1" applyAlignment="1">
      <alignment horizontal="center" vertical="top"/>
    </xf>
    <xf numFmtId="0" fontId="3" fillId="0" borderId="0" xfId="1" applyFont="1" applyAlignment="1">
      <alignment horizontal="centerContinuous"/>
    </xf>
    <xf numFmtId="0" fontId="4" fillId="0" borderId="0" xfId="1" applyFont="1" applyAlignment="1">
      <alignment horizontal="centerContinuous"/>
    </xf>
    <xf numFmtId="0" fontId="4" fillId="0" borderId="0" xfId="1" applyFont="1" applyAlignment="1"/>
    <xf numFmtId="0" fontId="2" fillId="0" borderId="0" xfId="1" applyFont="1" applyAlignment="1"/>
    <xf numFmtId="0" fontId="4" fillId="0" borderId="0" xfId="1" applyFont="1" applyAlignment="1">
      <alignment horizontal="center"/>
    </xf>
    <xf numFmtId="0" fontId="6" fillId="2" borderId="1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1" fillId="0" borderId="4" xfId="1" quotePrefix="1" applyBorder="1" applyAlignment="1">
      <alignment horizontal="center" vertical="center"/>
    </xf>
    <xf numFmtId="3" fontId="1" fillId="0" borderId="5" xfId="1" quotePrefix="1" applyNumberFormat="1" applyBorder="1" applyAlignment="1">
      <alignment vertical="center"/>
    </xf>
    <xf numFmtId="164" fontId="1" fillId="0" borderId="6" xfId="1" applyNumberFormat="1" applyBorder="1" applyAlignment="1">
      <alignment vertical="center" wrapText="1"/>
    </xf>
    <xf numFmtId="3" fontId="1" fillId="0" borderId="4" xfId="1" quotePrefix="1" applyNumberFormat="1" applyBorder="1" applyAlignment="1">
      <alignment horizontal="center" vertical="center"/>
    </xf>
    <xf numFmtId="0" fontId="1" fillId="0" borderId="7" xfId="1" quotePrefix="1" applyBorder="1" applyAlignment="1">
      <alignment horizontal="left" vertical="center"/>
    </xf>
    <xf numFmtId="0" fontId="1" fillId="0" borderId="0" xfId="1" quotePrefix="1" applyAlignment="1">
      <alignment horizontal="left" vertical="center"/>
    </xf>
    <xf numFmtId="0" fontId="1" fillId="0" borderId="8" xfId="1" applyBorder="1">
      <alignment vertical="top"/>
    </xf>
    <xf numFmtId="3" fontId="1" fillId="0" borderId="9" xfId="1" quotePrefix="1" applyNumberFormat="1" applyBorder="1" applyAlignment="1">
      <alignment vertical="center"/>
    </xf>
    <xf numFmtId="0" fontId="1" fillId="0" borderId="5" xfId="1" quotePrefix="1" applyBorder="1" applyAlignment="1">
      <alignment horizontal="left" vertical="center"/>
    </xf>
    <xf numFmtId="0" fontId="7" fillId="0" borderId="4" xfId="1" quotePrefix="1" applyFont="1" applyBorder="1" applyAlignment="1">
      <alignment horizontal="centerContinuous" vertical="center"/>
    </xf>
    <xf numFmtId="3" fontId="7" fillId="0" borderId="10" xfId="1" quotePrefix="1" applyNumberFormat="1" applyFont="1" applyBorder="1" applyAlignment="1">
      <alignment horizontal="centerContinuous" vertical="center"/>
    </xf>
    <xf numFmtId="164" fontId="7" fillId="0" borderId="6" xfId="1" applyNumberFormat="1" applyFont="1" applyBorder="1" applyAlignment="1">
      <alignment vertical="center" wrapText="1"/>
    </xf>
    <xf numFmtId="164" fontId="8" fillId="3" borderId="13" xfId="1" applyNumberFormat="1" applyFont="1" applyFill="1" applyBorder="1" applyAlignment="1">
      <alignment vertical="center" wrapText="1"/>
    </xf>
    <xf numFmtId="0" fontId="1" fillId="0" borderId="9" xfId="1" quotePrefix="1" applyBorder="1" applyAlignment="1">
      <alignment horizontal="left" vertical="center"/>
    </xf>
    <xf numFmtId="0" fontId="1" fillId="0" borderId="0" xfId="1" applyAlignment="1"/>
    <xf numFmtId="0" fontId="1" fillId="0" borderId="0" xfId="1" applyAlignment="1">
      <alignment horizontal="left" indent="2"/>
    </xf>
    <xf numFmtId="0" fontId="6" fillId="2" borderId="11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left" vertical="center"/>
    </xf>
    <xf numFmtId="164" fontId="6" fillId="2" borderId="13" xfId="1" applyNumberFormat="1" applyFont="1" applyFill="1" applyBorder="1" applyAlignment="1">
      <alignment vertical="center" wrapText="1"/>
    </xf>
    <xf numFmtId="3" fontId="1" fillId="0" borderId="15" xfId="1" quotePrefix="1" applyNumberFormat="1" applyBorder="1" applyAlignment="1">
      <alignment horizontal="left" vertical="center"/>
    </xf>
    <xf numFmtId="0" fontId="1" fillId="0" borderId="16" xfId="1" quotePrefix="1" applyBorder="1" applyAlignment="1">
      <alignment horizontal="center" vertical="center"/>
    </xf>
    <xf numFmtId="3" fontId="1" fillId="0" borderId="17" xfId="1" quotePrefix="1" applyNumberFormat="1" applyBorder="1" applyAlignment="1">
      <alignment horizontal="left" vertical="center"/>
    </xf>
    <xf numFmtId="164" fontId="1" fillId="0" borderId="18" xfId="1" applyNumberFormat="1" applyBorder="1" applyAlignment="1">
      <alignment vertical="center" wrapText="1"/>
    </xf>
    <xf numFmtId="0" fontId="8" fillId="3" borderId="11" xfId="1" applyFont="1" applyFill="1" applyBorder="1" applyAlignment="1">
      <alignment vertical="center"/>
    </xf>
    <xf numFmtId="0" fontId="8" fillId="3" borderId="12" xfId="1" applyFont="1" applyFill="1" applyBorder="1" applyAlignment="1">
      <alignment horizontal="left" vertical="center"/>
    </xf>
    <xf numFmtId="0" fontId="1" fillId="0" borderId="19" xfId="1" quotePrefix="1" applyBorder="1" applyAlignment="1">
      <alignment horizontal="left" vertical="center"/>
    </xf>
    <xf numFmtId="0" fontId="3" fillId="0" borderId="0" xfId="1" applyFont="1" applyAlignment="1"/>
    <xf numFmtId="0" fontId="3" fillId="0" borderId="0" xfId="1" applyFont="1" applyAlignment="1">
      <alignment horizontal="left"/>
    </xf>
    <xf numFmtId="0" fontId="4" fillId="0" borderId="0" xfId="1" applyFont="1">
      <alignment vertical="top"/>
    </xf>
    <xf numFmtId="0" fontId="4" fillId="0" borderId="0" xfId="1" applyFont="1" applyAlignment="1">
      <alignment horizontal="center" vertical="top"/>
    </xf>
    <xf numFmtId="0" fontId="3" fillId="0" borderId="0" xfId="1" applyFont="1" applyAlignment="1">
      <alignment horizontal="center"/>
    </xf>
    <xf numFmtId="0" fontId="10" fillId="0" borderId="0" xfId="1" applyFont="1">
      <alignment vertical="top"/>
    </xf>
    <xf numFmtId="0" fontId="11" fillId="2" borderId="1" xfId="1" applyFont="1" applyFill="1" applyBorder="1" applyAlignment="1">
      <alignment horizontal="center" vertical="center" wrapText="1"/>
    </xf>
    <xf numFmtId="0" fontId="11" fillId="2" borderId="20" xfId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 wrapText="1"/>
    </xf>
    <xf numFmtId="0" fontId="10" fillId="0" borderId="8" xfId="1" applyFont="1" applyBorder="1">
      <alignment vertical="top"/>
    </xf>
    <xf numFmtId="0" fontId="10" fillId="0" borderId="4" xfId="1" quotePrefix="1" applyFont="1" applyBorder="1" applyAlignment="1">
      <alignment horizontal="center" vertical="center"/>
    </xf>
    <xf numFmtId="0" fontId="10" fillId="0" borderId="21" xfId="1" quotePrefix="1" applyFont="1" applyBorder="1" applyAlignment="1">
      <alignment horizontal="center" vertical="center"/>
    </xf>
    <xf numFmtId="3" fontId="10" fillId="0" borderId="5" xfId="1" quotePrefix="1" applyNumberFormat="1" applyFont="1" applyBorder="1" applyAlignment="1">
      <alignment vertical="center"/>
    </xf>
    <xf numFmtId="164" fontId="10" fillId="0" borderId="6" xfId="1" applyNumberFormat="1" applyFont="1" applyBorder="1" applyAlignment="1">
      <alignment horizontal="center" vertical="center" wrapText="1"/>
    </xf>
    <xf numFmtId="3" fontId="10" fillId="0" borderId="4" xfId="1" quotePrefix="1" applyNumberFormat="1" applyFont="1" applyBorder="1" applyAlignment="1">
      <alignment horizontal="center" vertical="center"/>
    </xf>
    <xf numFmtId="3" fontId="10" fillId="0" borderId="19" xfId="1" quotePrefix="1" applyNumberFormat="1" applyFont="1" applyBorder="1" applyAlignment="1">
      <alignment horizontal="center" vertical="center"/>
    </xf>
    <xf numFmtId="0" fontId="10" fillId="0" borderId="7" xfId="1" quotePrefix="1" applyFont="1" applyBorder="1" applyAlignment="1">
      <alignment horizontal="left" vertical="center"/>
    </xf>
    <xf numFmtId="3" fontId="10" fillId="0" borderId="15" xfId="1" quotePrefix="1" applyNumberFormat="1" applyFont="1" applyBorder="1" applyAlignment="1">
      <alignment horizontal="center" vertical="center"/>
    </xf>
    <xf numFmtId="0" fontId="10" fillId="0" borderId="9" xfId="1" quotePrefix="1" applyFont="1" applyBorder="1" applyAlignment="1">
      <alignment horizontal="left" vertical="center"/>
    </xf>
    <xf numFmtId="164" fontId="12" fillId="0" borderId="6" xfId="1" applyNumberFormat="1" applyFont="1" applyBorder="1" applyAlignment="1">
      <alignment horizontal="center" vertical="center" wrapText="1"/>
    </xf>
    <xf numFmtId="3" fontId="10" fillId="0" borderId="21" xfId="1" quotePrefix="1" applyNumberFormat="1" applyFont="1" applyBorder="1" applyAlignment="1">
      <alignment horizontal="center" vertical="center"/>
    </xf>
    <xf numFmtId="0" fontId="10" fillId="0" borderId="5" xfId="1" quotePrefix="1" applyFont="1" applyBorder="1" applyAlignment="1">
      <alignment horizontal="left" vertical="center"/>
    </xf>
    <xf numFmtId="164" fontId="13" fillId="3" borderId="13" xfId="1" applyNumberFormat="1" applyFont="1" applyFill="1" applyBorder="1" applyAlignment="1">
      <alignment horizontal="center" vertical="center" wrapText="1"/>
    </xf>
    <xf numFmtId="3" fontId="13" fillId="3" borderId="13" xfId="1" applyNumberFormat="1" applyFont="1" applyFill="1" applyBorder="1" applyAlignment="1">
      <alignment horizontal="center" vertical="center" wrapText="1"/>
    </xf>
    <xf numFmtId="3" fontId="4" fillId="0" borderId="4" xfId="1" quotePrefix="1" applyNumberFormat="1" applyFont="1" applyBorder="1" applyAlignment="1">
      <alignment horizontal="center" vertical="center"/>
    </xf>
    <xf numFmtId="3" fontId="4" fillId="0" borderId="15" xfId="1" quotePrefix="1" applyNumberFormat="1" applyFont="1" applyBorder="1" applyAlignment="1">
      <alignment horizontal="center" vertical="center"/>
    </xf>
    <xf numFmtId="0" fontId="4" fillId="0" borderId="9" xfId="1" quotePrefix="1" applyFont="1" applyBorder="1" applyAlignment="1">
      <alignment horizontal="left" vertical="center"/>
    </xf>
    <xf numFmtId="164" fontId="4" fillId="0" borderId="6" xfId="1" applyNumberFormat="1" applyFont="1" applyBorder="1" applyAlignment="1">
      <alignment horizontal="center" vertical="center" wrapText="1"/>
    </xf>
    <xf numFmtId="164" fontId="3" fillId="3" borderId="13" xfId="1" applyNumberFormat="1" applyFont="1" applyFill="1" applyBorder="1" applyAlignment="1">
      <alignment horizontal="center" vertical="center" wrapText="1"/>
    </xf>
    <xf numFmtId="3" fontId="4" fillId="0" borderId="19" xfId="1" quotePrefix="1" applyNumberFormat="1" applyFont="1" applyBorder="1" applyAlignment="1">
      <alignment horizontal="center" vertical="center"/>
    </xf>
    <xf numFmtId="0" fontId="4" fillId="0" borderId="19" xfId="1" quotePrefix="1" applyFont="1" applyBorder="1" applyAlignment="1">
      <alignment horizontal="left" vertical="center"/>
    </xf>
    <xf numFmtId="0" fontId="14" fillId="2" borderId="1" xfId="1" applyFont="1" applyFill="1" applyBorder="1" applyAlignment="1">
      <alignment horizontal="center" vertical="center" wrapText="1"/>
    </xf>
    <xf numFmtId="0" fontId="14" fillId="2" borderId="20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 wrapText="1"/>
    </xf>
    <xf numFmtId="0" fontId="4" fillId="0" borderId="7" xfId="1" quotePrefix="1" applyFont="1" applyBorder="1" applyAlignment="1">
      <alignment horizontal="left" vertical="center"/>
    </xf>
    <xf numFmtId="3" fontId="4" fillId="0" borderId="0" xfId="1" quotePrefix="1" applyNumberFormat="1" applyFont="1" applyAlignment="1">
      <alignment horizontal="center" vertical="center"/>
    </xf>
    <xf numFmtId="0" fontId="4" fillId="0" borderId="0" xfId="1" quotePrefix="1" applyFont="1" applyAlignment="1">
      <alignment horizontal="left" vertical="center"/>
    </xf>
    <xf numFmtId="0" fontId="4" fillId="0" borderId="8" xfId="1" applyFont="1" applyBorder="1">
      <alignment vertical="top"/>
    </xf>
    <xf numFmtId="3" fontId="4" fillId="0" borderId="21" xfId="1" quotePrefix="1" applyNumberFormat="1" applyFont="1" applyBorder="1" applyAlignment="1">
      <alignment horizontal="center" vertical="center"/>
    </xf>
    <xf numFmtId="0" fontId="4" fillId="0" borderId="5" xfId="1" quotePrefix="1" applyFont="1" applyBorder="1" applyAlignment="1">
      <alignment horizontal="left" vertical="center"/>
    </xf>
    <xf numFmtId="0" fontId="10" fillId="0" borderId="22" xfId="1" quotePrefix="1" applyFont="1" applyBorder="1" applyAlignment="1">
      <alignment horizontal="left" vertical="center"/>
    </xf>
    <xf numFmtId="3" fontId="10" fillId="0" borderId="0" xfId="1" quotePrefix="1" applyNumberFormat="1" applyFont="1" applyAlignment="1">
      <alignment horizontal="center" vertical="center"/>
    </xf>
    <xf numFmtId="0" fontId="10" fillId="0" borderId="0" xfId="1" quotePrefix="1" applyFont="1" applyAlignment="1">
      <alignment horizontal="left" vertical="center"/>
    </xf>
    <xf numFmtId="0" fontId="8" fillId="3" borderId="11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2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12" fillId="0" borderId="16" xfId="1" quotePrefix="1" applyFont="1" applyBorder="1" applyAlignment="1">
      <alignment horizontal="center" vertical="center"/>
    </xf>
    <xf numFmtId="0" fontId="12" fillId="0" borderId="17" xfId="1" quotePrefix="1" applyFont="1" applyBorder="1" applyAlignment="1">
      <alignment horizontal="center" vertical="center"/>
    </xf>
    <xf numFmtId="0" fontId="12" fillId="0" borderId="10" xfId="1" quotePrefix="1" applyFont="1" applyBorder="1" applyAlignment="1">
      <alignment horizontal="center" vertical="center"/>
    </xf>
    <xf numFmtId="0" fontId="13" fillId="3" borderId="14" xfId="1" applyFont="1" applyFill="1" applyBorder="1" applyAlignment="1">
      <alignment horizontal="center" vertical="center"/>
    </xf>
    <xf numFmtId="0" fontId="13" fillId="3" borderId="12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3" fillId="3" borderId="14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13" fillId="3" borderId="11" xfId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3" fontId="1" fillId="0" borderId="15" xfId="0" quotePrefix="1" applyNumberFormat="1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164" fontId="1" fillId="0" borderId="6" xfId="0" applyNumberFormat="1" applyFont="1" applyBorder="1" applyAlignment="1">
      <alignment horizontal="center" vertical="center" wrapText="1"/>
    </xf>
    <xf numFmtId="3" fontId="1" fillId="0" borderId="15" xfId="0" quotePrefix="1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6" fillId="4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3BE9378B-611F-4C6D-9815-F2323F020D9A}"/>
  </cellStyles>
  <dxfs count="0"/>
  <tableStyles count="0" defaultTableStyle="TableStyleMedium2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PUFIRE\OneDrive\Desktop\Econom&#237;a\UMG\8.%20Octavo%20Semestre\CUENTAS%20NACIONALES\COU%204.xlsx" TargetMode="External"/><Relationship Id="rId1" Type="http://schemas.openxmlformats.org/officeDocument/2006/relationships/externalLinkPath" Target="COU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Índice "/>
      <sheetName val="4.1"/>
      <sheetName val="4.20"/>
      <sheetName val="4.21"/>
      <sheetName val="Catálogo"/>
      <sheetName val="Café"/>
      <sheetName val="Puestos"/>
      <sheetName val=" Ganado bovino"/>
      <sheetName val=" Ganado bovino (2)"/>
      <sheetName val=" Ganado bovino (3)"/>
      <sheetName val="PIB AE012"/>
      <sheetName val="Empleos (2)"/>
      <sheetName val="Datos Clave"/>
      <sheetName val="Empleos (3)"/>
      <sheetName val="Datos Clave (2)"/>
      <sheetName val="VAB"/>
      <sheetName val="Pareto"/>
    </sheetNames>
    <sheetDataSet>
      <sheetData sheetId="0"/>
      <sheetData sheetId="1"/>
      <sheetData sheetId="2"/>
      <sheetData sheetId="3"/>
      <sheetData sheetId="4">
        <row r="8">
          <cell r="C8" t="str">
            <v>Cultivo de cereales</v>
          </cell>
        </row>
        <row r="9">
          <cell r="C9" t="str">
            <v>Cultivo de leguminosas (legumbres secas) y semillas oleaginosas</v>
          </cell>
        </row>
        <row r="10">
          <cell r="C10" t="str">
            <v>Cultivo de hortalizas, melones, raíces y tubérculos</v>
          </cell>
        </row>
        <row r="11">
          <cell r="C11" t="str">
            <v>Cultivo de caña de azúcar</v>
          </cell>
        </row>
        <row r="12">
          <cell r="C12" t="str">
            <v>Cultivo de banano y plátano</v>
          </cell>
        </row>
        <row r="13">
          <cell r="C13" t="str">
            <v>Cultivo de otras frutas y nueces</v>
          </cell>
        </row>
        <row r="14">
          <cell r="C14" t="str">
            <v>Cultivo de palma</v>
          </cell>
        </row>
        <row r="15">
          <cell r="C15" t="str">
            <v>Cultivo de café</v>
          </cell>
        </row>
        <row r="16">
          <cell r="C16" t="str">
            <v>Cultivo de cardamomo</v>
          </cell>
        </row>
        <row r="17">
          <cell r="C17" t="str">
            <v>Cultivo de caucho natural</v>
          </cell>
          <cell r="F17" t="str">
            <v>Tabaco y otras plantas no perennes</v>
          </cell>
        </row>
        <row r="18">
          <cell r="C18" t="str">
            <v>Otros cultivos</v>
          </cell>
        </row>
        <row r="19">
          <cell r="C19" t="str">
            <v>Cría de ganado bovino, excepto búfalos</v>
          </cell>
        </row>
        <row r="20">
          <cell r="C20" t="str">
            <v>Cría de aves de corral</v>
          </cell>
        </row>
        <row r="21">
          <cell r="C21" t="str">
            <v>Cría de ganado porcino, de otros animales y obtención de productos de otros animales vivos</v>
          </cell>
        </row>
        <row r="22">
          <cell r="C22" t="str">
            <v>Actividades de apoyo a la agricultura y ganadería; y propagación de plantas</v>
          </cell>
        </row>
        <row r="23">
          <cell r="C23" t="str">
            <v>Silvicultura, extracción de madera y servicios de apoyo a la silvicultura</v>
          </cell>
        </row>
        <row r="24">
          <cell r="C24" t="str">
            <v>Pesca y acuicultura</v>
          </cell>
        </row>
        <row r="25">
          <cell r="C25" t="str">
            <v>Extracción de petróleo crudo y gas natural</v>
          </cell>
        </row>
        <row r="26">
          <cell r="C26" t="str">
            <v>Extracción de minerales metálicos</v>
          </cell>
        </row>
        <row r="27">
          <cell r="C27" t="str">
            <v>Extracción de minerales no metálicos y actividades de apoyo para la explotación de minas y canteras</v>
          </cell>
          <cell r="F27" t="str">
            <v>Ganado bovino</v>
          </cell>
        </row>
        <row r="28">
          <cell r="C28" t="str">
            <v>Elaboración y conservación de carne de ganado bovino</v>
          </cell>
        </row>
        <row r="29">
          <cell r="C29" t="str">
            <v>Elaboración y conservación de carne de ganado porcino, productos cárnicos y otros productos de origen animal n.c.p.</v>
          </cell>
        </row>
        <row r="30">
          <cell r="C30" t="str">
            <v>Elaboración y conservación de carne de aves de corral</v>
          </cell>
          <cell r="F30" t="str">
            <v>Leche cruda</v>
          </cell>
        </row>
        <row r="31">
          <cell r="C31" t="str">
            <v>Elaboración y conservación de pescado, crustáceos y moluscos</v>
          </cell>
        </row>
        <row r="32">
          <cell r="C32" t="str">
            <v>Elaboración y conservación de frutas, legumbres y hortalizas</v>
          </cell>
          <cell r="F32" t="str">
            <v>Otros productos de animales vivos</v>
          </cell>
        </row>
        <row r="33">
          <cell r="C33" t="str">
            <v>Elaboración de aceites y grasas de origen vegetal y animal</v>
          </cell>
        </row>
        <row r="34">
          <cell r="C34" t="str">
            <v>Elaboración de productos lácteos</v>
          </cell>
        </row>
        <row r="35">
          <cell r="C35" t="str">
            <v>Elaboración de harina de trigo</v>
          </cell>
        </row>
        <row r="36">
          <cell r="C36" t="str">
            <v>Beneficios de arroz</v>
          </cell>
        </row>
        <row r="37">
          <cell r="C37" t="str">
            <v>Elaboración de almidones y de otros productos de molinería n.c.p.</v>
          </cell>
        </row>
        <row r="38">
          <cell r="C38" t="str">
            <v>Elaboración de productos de panadería</v>
          </cell>
        </row>
        <row r="39">
          <cell r="C39" t="str">
            <v>Elaboración de tortillas de maíz</v>
          </cell>
          <cell r="F39" t="str">
            <v>Minerales no metálicos</v>
          </cell>
        </row>
        <row r="40">
          <cell r="C40" t="str">
            <v>Elaboración de azúcar</v>
          </cell>
        </row>
        <row r="41">
          <cell r="C41" t="str">
            <v>Elaboración de otros productos alimenticios n.c.p</v>
          </cell>
        </row>
        <row r="42">
          <cell r="C42" t="str">
            <v>Elaboración de alimentos preparados para animales</v>
          </cell>
        </row>
        <row r="43">
          <cell r="C43" t="str">
            <v>Elaboración de bebidas alcohólicas y productos de tabaco</v>
          </cell>
        </row>
        <row r="44">
          <cell r="C44" t="str">
            <v>Elaboración de bebidas no alcohólicas, producción de aguas minerales y de otras aguas embotelladas</v>
          </cell>
        </row>
        <row r="45">
          <cell r="C45" t="str">
            <v>Hilatura, tejedura y fabricación de productos textiles, excepto prendas de vestir</v>
          </cell>
        </row>
        <row r="46">
          <cell r="C46" t="str">
            <v>Fabricación de prendas de vestir</v>
          </cell>
        </row>
        <row r="47">
          <cell r="C47" t="str">
            <v>Fabricación de calzado, productos de cuero y actividades conexas</v>
          </cell>
        </row>
        <row r="48">
          <cell r="C48" t="str">
            <v>Aserrado y acepilladura de madera, fabricación de productos de madera y corcho, excepto muebles</v>
          </cell>
        </row>
        <row r="49">
          <cell r="C49" t="str">
            <v>Fabricación de papel y productos de papel</v>
          </cell>
        </row>
        <row r="50">
          <cell r="C50" t="str">
            <v>Impresión y reproducción de grabaciones</v>
          </cell>
        </row>
        <row r="51">
          <cell r="C51" t="str">
            <v>Fabricación de abonos, compuestos de nitrógeno, plaguicidas y otros productos químicos de uso agropecuario</v>
          </cell>
        </row>
        <row r="52">
          <cell r="C52" t="str">
            <v>Fabricación de jabones y detergentes, preparados para limpiar y pulir, perfumes y preparados de tocador</v>
          </cell>
        </row>
        <row r="53">
          <cell r="C53" t="str">
            <v>Fabricación de productos farmacéuticos, sustancias químicas medicinales y productos botánicos de uso farmacéutico</v>
          </cell>
        </row>
        <row r="54">
          <cell r="C54" t="str">
            <v>Fabricación de otros productos químicos, coque y productos de la refinación del petróleo</v>
          </cell>
        </row>
        <row r="55">
          <cell r="C55" t="str">
            <v>Fabricación de plásticos en forma primaria y productos de caucho y plástico</v>
          </cell>
        </row>
        <row r="56">
          <cell r="C56" t="str">
            <v>Fabricación de vidrio y productos de vidrio</v>
          </cell>
        </row>
        <row r="57">
          <cell r="C57" t="str">
            <v>Fabricación de cemento, cal y yeso; y fabricación de artículos de hormigón, cemento y yeso</v>
          </cell>
        </row>
        <row r="58">
          <cell r="C58" t="str">
            <v>Fabricación de otros productos minerales no metálicos</v>
          </cell>
          <cell r="F58" t="str">
            <v>Azúcar de caña sin refinar y refinada, melaza y los demás azúcares n.c.p.</v>
          </cell>
        </row>
        <row r="59">
          <cell r="C59" t="str">
            <v>Fabricación de metales comunes y de productos elaborados de metal, excepto maquinaria y equipo</v>
          </cell>
        </row>
        <row r="60">
          <cell r="C60" t="str">
            <v>Fabricación, reparación e instalación de maquinaria y equipo industrial, n.c.p.</v>
          </cell>
          <cell r="F60" t="str">
            <v>Preparados para alimentación animal</v>
          </cell>
        </row>
        <row r="61">
          <cell r="C61" t="str">
            <v>Fabricación de muebles</v>
          </cell>
        </row>
        <row r="62">
          <cell r="C62" t="str">
            <v>Otras industrias manufactureras</v>
          </cell>
        </row>
        <row r="63">
          <cell r="C63" t="str">
            <v>Suministro de electricidad, gas, vapor y aire acondicionado</v>
          </cell>
        </row>
        <row r="64">
          <cell r="C64" t="str">
            <v>Suministro de agua, evacuación de aguas residuales, gestión de desechos y descontaminación</v>
          </cell>
        </row>
        <row r="65">
          <cell r="C65" t="str">
            <v>Construcción de edificios (de mercado)</v>
          </cell>
          <cell r="F65" t="str">
            <v>Hilados, tejidos, telas y otros productos textiles excepto prendas de vestir</v>
          </cell>
        </row>
        <row r="66">
          <cell r="C66" t="str">
            <v>Construcción de obras de ingeniería civil (de mercado)</v>
          </cell>
          <cell r="F66" t="str">
            <v>Prendas de vestir, adobo y teñido de pieles</v>
          </cell>
        </row>
        <row r="67">
          <cell r="C67" t="str">
            <v>Actividades especializadas de construcción</v>
          </cell>
        </row>
        <row r="68">
          <cell r="C68" t="str">
            <v>Comercio al por mayor y al por menor</v>
          </cell>
        </row>
        <row r="69">
          <cell r="C69" t="str">
            <v>Mantenimiento y reparación de vehículos automotores y motocicletas</v>
          </cell>
        </row>
        <row r="70">
          <cell r="C70" t="str">
            <v>Servicios de transporte</v>
          </cell>
          <cell r="F70" t="str">
            <v>Pasta de papel y papel</v>
          </cell>
        </row>
        <row r="71">
          <cell r="C71" t="str">
            <v>Almacenamiento y actividades de apoyo al transporte</v>
          </cell>
          <cell r="F71" t="str">
            <v>Envases de papel y cartón</v>
          </cell>
        </row>
        <row r="72">
          <cell r="C72" t="str">
            <v>Actividades postales y de mensajería</v>
          </cell>
        </row>
        <row r="73">
          <cell r="C73" t="str">
            <v>Actividades de alojamiento</v>
          </cell>
        </row>
        <row r="74">
          <cell r="C74" t="str">
            <v>Actividades de servicio de comidas y bebidas</v>
          </cell>
          <cell r="F74" t="str">
            <v>Gasolinas, diésel oil y fuel oils</v>
          </cell>
        </row>
        <row r="75">
          <cell r="C75" t="str">
            <v>Edición de libros y otras actividades de edición; actividades de producción de películas cinematográficas, videos y programas de televisión</v>
          </cell>
          <cell r="F75" t="str">
            <v>Aceites, grasas lubricantes y otros aceites preparados</v>
          </cell>
        </row>
        <row r="76">
          <cell r="C76" t="str">
            <v>Telecomunicaciones</v>
          </cell>
        </row>
        <row r="77">
          <cell r="C77" t="str">
            <v>Programación informática, consultoría de informática y actividades conexas; actividades de servicios de información; y edición de programas informáticos</v>
          </cell>
          <cell r="F77" t="str">
            <v>Abonos, fertilizantes y pesticidas</v>
          </cell>
        </row>
        <row r="78">
          <cell r="C78" t="str">
            <v>Actividades de servicios financieros, excepto las de seguros y fondos de pensiones</v>
          </cell>
        </row>
        <row r="79">
          <cell r="C79" t="str">
            <v>Seguros, reaseguros y fondos de pensiones, excepto planes de seguridad social de afiliación obligatoria</v>
          </cell>
          <cell r="F79" t="str">
            <v>Jabón, preparados de limpieza, perfumes y preparados de toilet</v>
          </cell>
        </row>
        <row r="80">
          <cell r="C80" t="str">
            <v>Actividades auxiliares de las actividades de servicios financieros</v>
          </cell>
          <cell r="F80" t="str">
            <v>Otros productos químicos</v>
          </cell>
        </row>
        <row r="81">
          <cell r="C81" t="str">
            <v>Alquiler de vivienda (de mercado)</v>
          </cell>
          <cell r="F81" t="str">
            <v>Productos farmacéuticos</v>
          </cell>
        </row>
        <row r="82">
          <cell r="C82" t="str">
            <v>Alquileres no residenciales y otras actividades inmobiliarias</v>
          </cell>
        </row>
        <row r="83">
          <cell r="C83" t="str">
            <v>Actividades jurídicas y de contabilidad</v>
          </cell>
        </row>
        <row r="84">
          <cell r="C84" t="str">
            <v>Actividades de oficinas principales y actividades de consultoría de gestión</v>
          </cell>
        </row>
        <row r="85">
          <cell r="C85" t="str">
            <v>Actividades de arquitectura e ingeniería, ensayos y análisis técnicos</v>
          </cell>
        </row>
        <row r="86">
          <cell r="C86" t="str">
            <v>Publicidad y estudios de mercado</v>
          </cell>
        </row>
        <row r="87">
          <cell r="C87" t="str">
            <v>Investigación y desarrollo (de mercado); otras actividades profesionales, científicas y técnicas; y actividades veterinarias</v>
          </cell>
        </row>
        <row r="88">
          <cell r="C88" t="str">
            <v>Actividades de alquiler y arrendamiento</v>
          </cell>
        </row>
        <row r="89">
          <cell r="C89" t="str">
            <v>Actividades de empleo</v>
          </cell>
        </row>
        <row r="90">
          <cell r="C90" t="str">
            <v>Actividades de agencias de viajes, operadores turísticos, servicios de reservas y actividades conexas</v>
          </cell>
          <cell r="F90" t="str">
            <v>Otros productos elaborados de metal</v>
          </cell>
        </row>
        <row r="91">
          <cell r="C91" t="str">
            <v>Actividades de seguridad, investigación privada y de detectives</v>
          </cell>
        </row>
        <row r="92">
          <cell r="C92" t="str">
            <v>Actividades de centros de llamadas</v>
          </cell>
        </row>
        <row r="93">
          <cell r="C93" t="str">
            <v>Otras actividades de servicios administrativos y de apoyo de oficina</v>
          </cell>
        </row>
        <row r="94">
          <cell r="C94" t="str">
            <v>Enseñanza (de mercado)</v>
          </cell>
        </row>
        <row r="95">
          <cell r="C95" t="str">
            <v>Actividades de hospitales (de mercado)</v>
          </cell>
        </row>
        <row r="96">
          <cell r="C96" t="str">
            <v>Actividades de médicos y odontólogos (de mercado)</v>
          </cell>
        </row>
        <row r="97">
          <cell r="C97" t="str">
            <v>Otras actividades de atención de la salud humana (de mercado)</v>
          </cell>
          <cell r="F97" t="str">
            <v>Equipo de transporte</v>
          </cell>
        </row>
        <row r="98">
          <cell r="C98" t="str">
            <v>Actividades artísticas, de entretenimiento y recreativas (de mercado)</v>
          </cell>
        </row>
        <row r="99">
          <cell r="C99" t="str">
            <v>Otras actividades de servicios</v>
          </cell>
          <cell r="F99" t="str">
            <v>Otros artículos n.c.p.</v>
          </cell>
        </row>
        <row r="100">
          <cell r="F100" t="str">
            <v>Residuos y desechos</v>
          </cell>
        </row>
        <row r="101">
          <cell r="C101" t="str">
            <v>Construcción de edificios (para uso final propio)</v>
          </cell>
          <cell r="F101" t="str">
            <v>Generación y distribución de energía eléctrica, gas, vapor y aire acondicionado</v>
          </cell>
        </row>
        <row r="102">
          <cell r="C102" t="str">
            <v>Construcción de obras de ingeniería civil (para uso final propio)</v>
          </cell>
          <cell r="F102" t="str">
            <v>Agua natural y distribución de agua natural</v>
          </cell>
        </row>
        <row r="103">
          <cell r="C103" t="str">
            <v>Alquiler de vivienda (para uso final propio)</v>
          </cell>
        </row>
        <row r="104">
          <cell r="C104" t="str">
            <v>Actividades de los hogares como empleadores de personal doméstico (para uso final propio)</v>
          </cell>
        </row>
        <row r="106">
          <cell r="C106" t="str">
            <v>Investigación científica y desarrollo (no de mercado)</v>
          </cell>
        </row>
        <row r="107">
          <cell r="C107" t="str">
            <v>Administración pública y defensa, excepto planes de seguridad social de afiliación obligatoria (no de mercado)</v>
          </cell>
          <cell r="F107" t="str">
            <v>Servicios generales y especializados de construcción</v>
          </cell>
        </row>
        <row r="108">
          <cell r="C108" t="str">
            <v>Actividades de planes de seguridad social de afiliación obligatoria (no de mercado)</v>
          </cell>
        </row>
        <row r="109">
          <cell r="C109" t="str">
            <v>Enseñanza (no de mercado)</v>
          </cell>
          <cell r="F109" t="str">
            <v>Mantenimiento y reparación de vehículos automotores y motocicletas</v>
          </cell>
        </row>
        <row r="110">
          <cell r="C110" t="str">
            <v>Actividades de hospitales (no de mercado)</v>
          </cell>
        </row>
        <row r="111">
          <cell r="C111" t="str">
            <v>Actividades de médicos y odontólogos (no de mercado)</v>
          </cell>
          <cell r="F111" t="str">
            <v>Servicio de transporte de carga por vía terrestre</v>
          </cell>
        </row>
        <row r="112">
          <cell r="C112" t="str">
            <v>Otras actividades de atención de la salud humana (no de mercado)</v>
          </cell>
        </row>
        <row r="113">
          <cell r="C113" t="str">
            <v>Actividades artísticas, de entretenimiento y recreativas (no de mercado)</v>
          </cell>
        </row>
        <row r="114">
          <cell r="C114" t="str">
            <v>Actividades de asociaciones que sirven a los hogares (no de mercado)</v>
          </cell>
        </row>
        <row r="116">
          <cell r="F116" t="str">
            <v>Servicio de alojamiento</v>
          </cell>
        </row>
        <row r="117">
          <cell r="F117" t="str">
            <v>Servicio de suministro de comidas y bebidas</v>
          </cell>
        </row>
        <row r="118">
          <cell r="F118" t="str">
            <v>Servicios de información, telecomunicaciones y radiodifusión</v>
          </cell>
        </row>
        <row r="120">
          <cell r="F120" t="str">
            <v>Otros servicios financieros y servicios de banca de inversión</v>
          </cell>
        </row>
        <row r="121">
          <cell r="F121" t="str">
            <v>Servicios de Intermediación Financiera Medidos Indirectamente (SIFMI)</v>
          </cell>
        </row>
        <row r="122">
          <cell r="F122" t="str">
            <v>Servicios de seguro, reaseguro y fondos de pensiones</v>
          </cell>
        </row>
        <row r="125">
          <cell r="F125" t="str">
            <v>Otros servicios inmobiliarios, excepto alquiler de vivienda</v>
          </cell>
        </row>
        <row r="126">
          <cell r="F126" t="str">
            <v>Servicios jurídicos, de contabilidad, auditoría, teneduría de libros y consultoría fiscal</v>
          </cell>
        </row>
        <row r="129">
          <cell r="F129" t="str">
            <v>Otros servicios profesionales, científicos y técnicos</v>
          </cell>
        </row>
        <row r="131">
          <cell r="F131" t="str">
            <v>Servicios de arrendamiento o alquiler sin operador</v>
          </cell>
        </row>
        <row r="132">
          <cell r="F132" t="str">
            <v>Servicios  de agencias de empleo y de dotación de recursos humanos</v>
          </cell>
        </row>
        <row r="134">
          <cell r="F134" t="str">
            <v>Servicios de seguridad, sistemas de seguridad e investigación privada</v>
          </cell>
        </row>
        <row r="138">
          <cell r="F138" t="str">
            <v>Servicios de mantenimiento, reparación e instalación de productos metálicos elaborados, maquinaria y equipo</v>
          </cell>
        </row>
        <row r="140">
          <cell r="F140" t="str">
            <v>Servicios de apoyo a la agricultura, caza, silvicultura y pesca</v>
          </cell>
        </row>
        <row r="153">
          <cell r="F153" t="str">
            <v>Servicios de asociaciones que sirven a las empresas</v>
          </cell>
        </row>
      </sheetData>
      <sheetData sheetId="5"/>
      <sheetData sheetId="6"/>
      <sheetData sheetId="7"/>
      <sheetData sheetId="8"/>
      <sheetData sheetId="9">
        <row r="48">
          <cell r="L48">
            <v>8395.5217258183311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E4846-EA5C-4458-A5EA-FF505682B9A8}">
  <sheetPr>
    <tabColor rgb="FFC00000"/>
    <pageSetUpPr fitToPage="1"/>
  </sheetPr>
  <dimension ref="A1:I320"/>
  <sheetViews>
    <sheetView showGridLines="0" zoomScale="70" zoomScaleNormal="70" workbookViewId="0">
      <selection activeCell="C9" sqref="C9"/>
    </sheetView>
  </sheetViews>
  <sheetFormatPr baseColWidth="10" defaultColWidth="11.42578125" defaultRowHeight="0" customHeight="1" zeroHeight="1" outlineLevelRow="1" outlineLevelCol="1" x14ac:dyDescent="0.25"/>
  <cols>
    <col min="1" max="1" width="3.5703125" style="1" customWidth="1"/>
    <col min="2" max="2" width="10.5703125" style="1" customWidth="1"/>
    <col min="3" max="3" width="97.5703125" style="1" bestFit="1" customWidth="1"/>
    <col min="4" max="4" width="13.5703125" style="1" customWidth="1" outlineLevel="1"/>
    <col min="5" max="5" width="3.5703125" style="1" customWidth="1"/>
    <col min="6" max="6" width="13.5703125" style="1" customWidth="1"/>
    <col min="7" max="7" width="10.42578125" style="2" customWidth="1"/>
    <col min="8" max="8" width="97.5703125" style="1" bestFit="1" customWidth="1"/>
    <col min="9" max="75" width="13.5703125" style="1" customWidth="1"/>
    <col min="76" max="76" width="20.5703125" style="1" customWidth="1"/>
    <col min="77" max="80" width="14.140625" style="1" customWidth="1"/>
    <col min="81" max="81" width="20.5703125" style="1" customWidth="1"/>
    <col min="82" max="90" width="13.5703125" style="1" customWidth="1"/>
    <col min="91" max="92" width="20.5703125" style="1" customWidth="1"/>
    <col min="93" max="95" width="17.42578125" style="1" customWidth="1"/>
    <col min="96" max="96" width="20.5703125" style="1" customWidth="1"/>
    <col min="97" max="101" width="17.42578125" style="1" customWidth="1"/>
    <col min="102" max="104" width="20.5703125" style="1" customWidth="1"/>
    <col min="105" max="105" width="11.42578125" style="1"/>
    <col min="106" max="108" width="17.42578125" style="1" customWidth="1"/>
    <col min="109" max="111" width="20.5703125" style="1" customWidth="1"/>
    <col min="112" max="16384" width="11.42578125" style="1"/>
  </cols>
  <sheetData>
    <row r="1" spans="1:9" ht="12.75" x14ac:dyDescent="0.25"/>
    <row r="2" spans="1:9" ht="20.25" x14ac:dyDescent="0.3">
      <c r="B2" s="86" t="s">
        <v>0</v>
      </c>
      <c r="C2" s="86"/>
      <c r="D2" s="4"/>
    </row>
    <row r="3" spans="1:9" ht="20.25" x14ac:dyDescent="0.3">
      <c r="B3" s="86" t="s">
        <v>1</v>
      </c>
      <c r="C3" s="86"/>
      <c r="D3" s="4"/>
    </row>
    <row r="4" spans="1:9" ht="15.75" customHeight="1" x14ac:dyDescent="0.25">
      <c r="B4" s="37" t="s">
        <v>2</v>
      </c>
      <c r="C4" s="37"/>
      <c r="D4" s="4"/>
    </row>
    <row r="5" spans="1:9" ht="15.75" customHeight="1" x14ac:dyDescent="0.25">
      <c r="B5" s="87" t="s">
        <v>3</v>
      </c>
      <c r="C5" s="87"/>
      <c r="D5" s="3"/>
    </row>
    <row r="6" spans="1:9" ht="15" x14ac:dyDescent="0.2">
      <c r="B6" s="5"/>
      <c r="C6" s="5"/>
      <c r="D6" s="5"/>
    </row>
    <row r="7" spans="1:9" ht="20.25" x14ac:dyDescent="0.3">
      <c r="B7" s="6" t="s">
        <v>4</v>
      </c>
      <c r="C7" s="5"/>
      <c r="D7" s="5"/>
      <c r="G7" s="6" t="s">
        <v>5</v>
      </c>
      <c r="H7" s="5"/>
      <c r="I7" s="5"/>
    </row>
    <row r="8" spans="1:9" ht="15" x14ac:dyDescent="0.2">
      <c r="B8" s="5"/>
      <c r="C8" s="5"/>
      <c r="D8" s="5"/>
      <c r="G8" s="7"/>
      <c r="H8" s="5"/>
      <c r="I8" s="5"/>
    </row>
    <row r="9" spans="1:9" ht="39" customHeight="1" thickBot="1" x14ac:dyDescent="0.3">
      <c r="B9" s="8" t="s">
        <v>6</v>
      </c>
      <c r="C9" s="9" t="s">
        <v>7</v>
      </c>
      <c r="D9" s="10" t="s">
        <v>8</v>
      </c>
      <c r="G9" s="8" t="s">
        <v>6</v>
      </c>
      <c r="H9" s="9" t="s">
        <v>7</v>
      </c>
      <c r="I9" s="10" t="s">
        <v>8</v>
      </c>
    </row>
    <row r="10" spans="1:9" ht="24.75" customHeight="1" outlineLevel="1" x14ac:dyDescent="0.25">
      <c r="B10" s="11" t="s">
        <v>9</v>
      </c>
      <c r="C10" s="12" t="str">
        <f>[2]Catálogo!F27</f>
        <v>Ganado bovino</v>
      </c>
      <c r="D10" s="13">
        <v>6992.0262741518236</v>
      </c>
      <c r="G10" s="14" t="s">
        <v>10</v>
      </c>
      <c r="H10" s="15" t="str">
        <f>[2]Catálogo!F17</f>
        <v>Tabaco y otras plantas no perennes</v>
      </c>
      <c r="I10" s="13">
        <v>762.91318255666658</v>
      </c>
    </row>
    <row r="11" spans="1:9" ht="24.75" customHeight="1" outlineLevel="1" x14ac:dyDescent="0.25">
      <c r="B11" s="11" t="s">
        <v>11</v>
      </c>
      <c r="C11" s="12" t="str">
        <f>[2]Catálogo!F30</f>
        <v>Leche cruda</v>
      </c>
      <c r="D11" s="13">
        <v>2923.5240526183229</v>
      </c>
      <c r="G11" s="14" t="s">
        <v>12</v>
      </c>
      <c r="H11" s="16" t="str">
        <f>[2]Catálogo!F32</f>
        <v>Otros productos de animales vivos</v>
      </c>
      <c r="I11" s="13">
        <v>81.884613328640995</v>
      </c>
    </row>
    <row r="12" spans="1:9" ht="24.75" customHeight="1" x14ac:dyDescent="0.25">
      <c r="A12" s="17"/>
      <c r="B12" s="11" t="s">
        <v>13</v>
      </c>
      <c r="C12" s="18" t="str">
        <f>[2]Catálogo!F102</f>
        <v>Agua natural y distribución de agua natural</v>
      </c>
      <c r="D12" s="13">
        <v>7.1382169718486672</v>
      </c>
      <c r="G12" s="14" t="s">
        <v>14</v>
      </c>
      <c r="H12" s="19" t="str">
        <f>[2]Catálogo!F39</f>
        <v>Minerales no metálicos</v>
      </c>
      <c r="I12" s="13">
        <v>28.740700875145905</v>
      </c>
    </row>
    <row r="13" spans="1:9" ht="24.75" customHeight="1" thickBot="1" x14ac:dyDescent="0.3">
      <c r="B13" s="20" t="s">
        <v>15</v>
      </c>
      <c r="C13" s="21"/>
      <c r="D13" s="22">
        <v>0</v>
      </c>
      <c r="G13" s="14" t="s">
        <v>16</v>
      </c>
      <c r="H13" s="19" t="str">
        <f>[2]Catálogo!F58</f>
        <v>Azúcar de caña sin refinar y refinada, melaza y los demás azúcares n.c.p.</v>
      </c>
      <c r="I13" s="13">
        <v>66.707651052014384</v>
      </c>
    </row>
    <row r="14" spans="1:9" ht="24.75" customHeight="1" thickBot="1" x14ac:dyDescent="0.3">
      <c r="A14" s="17"/>
      <c r="B14" s="84" t="s">
        <v>17</v>
      </c>
      <c r="C14" s="85"/>
      <c r="D14" s="23">
        <v>9922.6885437419951</v>
      </c>
      <c r="G14" s="14" t="s">
        <v>18</v>
      </c>
      <c r="H14" s="24" t="str">
        <f>[2]Catálogo!F60</f>
        <v>Preparados para alimentación animal</v>
      </c>
      <c r="I14" s="13">
        <v>1504.0160764047539</v>
      </c>
    </row>
    <row r="15" spans="1:9" ht="24.75" customHeight="1" x14ac:dyDescent="0.2">
      <c r="B15" s="25" t="s">
        <v>19</v>
      </c>
      <c r="C15" s="5"/>
      <c r="G15" s="14" t="s">
        <v>20</v>
      </c>
      <c r="H15" s="24" t="str">
        <f>[2]Catálogo!F65</f>
        <v>Hilados, tejidos, telas y otros productos textiles excepto prendas de vestir</v>
      </c>
      <c r="I15" s="13">
        <v>2.7530272525445034</v>
      </c>
    </row>
    <row r="16" spans="1:9" ht="24.75" customHeight="1" x14ac:dyDescent="0.25">
      <c r="B16" s="25" t="s">
        <v>21</v>
      </c>
      <c r="G16" s="14" t="s">
        <v>22</v>
      </c>
      <c r="H16" s="24" t="str">
        <f>[2]Catálogo!F66</f>
        <v>Prendas de vestir, adobo y teñido de pieles</v>
      </c>
      <c r="I16" s="13">
        <v>3.1127913527694404</v>
      </c>
    </row>
    <row r="17" spans="2:9" ht="24.75" customHeight="1" x14ac:dyDescent="0.2">
      <c r="B17" s="25" t="s">
        <v>23</v>
      </c>
      <c r="C17" s="5"/>
      <c r="G17" s="14" t="s">
        <v>24</v>
      </c>
      <c r="H17" s="24" t="str">
        <f>[2]Catálogo!F70</f>
        <v>Pasta de papel y papel</v>
      </c>
      <c r="I17" s="13">
        <v>16.919841396408678</v>
      </c>
    </row>
    <row r="18" spans="2:9" ht="25.5" customHeight="1" outlineLevel="1" x14ac:dyDescent="0.2">
      <c r="B18" s="26" t="s">
        <v>25</v>
      </c>
      <c r="C18" s="25" t="s">
        <v>26</v>
      </c>
      <c r="G18" s="14" t="s">
        <v>27</v>
      </c>
      <c r="H18" s="24" t="str">
        <f>[2]Catálogo!F71</f>
        <v>Envases de papel y cartón</v>
      </c>
      <c r="I18" s="13">
        <v>1.882276632460727</v>
      </c>
    </row>
    <row r="19" spans="2:9" ht="25.5" customHeight="1" outlineLevel="1" x14ac:dyDescent="0.2">
      <c r="B19" s="26" t="s">
        <v>28</v>
      </c>
      <c r="C19" s="25" t="s">
        <v>29</v>
      </c>
      <c r="G19" s="14" t="s">
        <v>30</v>
      </c>
      <c r="H19" s="24" t="str">
        <f>[2]Catálogo!F74</f>
        <v>Gasolinas, diésel oil y fuel oils</v>
      </c>
      <c r="I19" s="13">
        <v>60.334588225434786</v>
      </c>
    </row>
    <row r="20" spans="2:9" ht="25.5" customHeight="1" outlineLevel="1" x14ac:dyDescent="0.2">
      <c r="D20" s="5"/>
      <c r="G20" s="14" t="s">
        <v>31</v>
      </c>
      <c r="H20" s="24" t="str">
        <f>[2]Catálogo!F75</f>
        <v>Aceites, grasas lubricantes y otros aceites preparados</v>
      </c>
      <c r="I20" s="13">
        <v>11.925358780461089</v>
      </c>
    </row>
    <row r="21" spans="2:9" ht="25.5" customHeight="1" outlineLevel="1" x14ac:dyDescent="0.25">
      <c r="G21" s="14" t="s">
        <v>32</v>
      </c>
      <c r="H21" s="24" t="str">
        <f>[2]Catálogo!F77</f>
        <v>Abonos, fertilizantes y pesticidas</v>
      </c>
      <c r="I21" s="13">
        <v>81.015396283857626</v>
      </c>
    </row>
    <row r="22" spans="2:9" ht="25.5" customHeight="1" outlineLevel="1" x14ac:dyDescent="0.25">
      <c r="G22" s="14" t="s">
        <v>33</v>
      </c>
      <c r="H22" s="24" t="str">
        <f>[2]Catálogo!F79</f>
        <v>Jabón, preparados de limpieza, perfumes y preparados de toilet</v>
      </c>
      <c r="I22" s="13">
        <v>6.6480511633984509</v>
      </c>
    </row>
    <row r="23" spans="2:9" ht="25.5" customHeight="1" outlineLevel="1" x14ac:dyDescent="0.25">
      <c r="G23" s="14" t="s">
        <v>34</v>
      </c>
      <c r="H23" s="24" t="str">
        <f>[2]Catálogo!F80</f>
        <v>Otros productos químicos</v>
      </c>
      <c r="I23" s="13">
        <v>0.36905610491540042</v>
      </c>
    </row>
    <row r="24" spans="2:9" ht="25.5" customHeight="1" outlineLevel="1" x14ac:dyDescent="0.25">
      <c r="G24" s="14" t="s">
        <v>35</v>
      </c>
      <c r="H24" s="24" t="str">
        <f>[2]Catálogo!F81</f>
        <v>Productos farmacéuticos</v>
      </c>
      <c r="I24" s="13">
        <v>555.24383853255813</v>
      </c>
    </row>
    <row r="25" spans="2:9" ht="25.5" customHeight="1" outlineLevel="1" x14ac:dyDescent="0.3">
      <c r="B25" s="6" t="s">
        <v>36</v>
      </c>
      <c r="G25" s="14" t="s">
        <v>37</v>
      </c>
      <c r="H25" s="24" t="str">
        <f>[2]Catálogo!F90</f>
        <v>Otros productos elaborados de metal</v>
      </c>
      <c r="I25" s="13">
        <v>9.7954063243820446</v>
      </c>
    </row>
    <row r="26" spans="2:9" ht="25.5" customHeight="1" outlineLevel="1" thickBot="1" x14ac:dyDescent="0.25">
      <c r="B26" s="5"/>
      <c r="C26" s="5"/>
      <c r="D26" s="5"/>
      <c r="G26" s="14" t="s">
        <v>38</v>
      </c>
      <c r="H26" s="24" t="str">
        <f>[2]Catálogo!F97</f>
        <v>Equipo de transporte</v>
      </c>
      <c r="I26" s="13">
        <v>7.9778742903911493</v>
      </c>
    </row>
    <row r="27" spans="2:9" ht="25.5" customHeight="1" outlineLevel="1" thickBot="1" x14ac:dyDescent="0.3">
      <c r="B27" s="27" t="s">
        <v>39</v>
      </c>
      <c r="C27" s="28" t="s">
        <v>40</v>
      </c>
      <c r="D27" s="29">
        <v>5822.6853276822621</v>
      </c>
      <c r="G27" s="14" t="s">
        <v>41</v>
      </c>
      <c r="H27" s="24" t="str">
        <f>[2]Catálogo!F99</f>
        <v>Otros artículos n.c.p.</v>
      </c>
      <c r="I27" s="13">
        <v>21.251733735861809</v>
      </c>
    </row>
    <row r="28" spans="2:9" ht="25.5" customHeight="1" outlineLevel="1" x14ac:dyDescent="0.25">
      <c r="B28" s="11" t="s">
        <v>42</v>
      </c>
      <c r="C28" s="30" t="s">
        <v>43</v>
      </c>
      <c r="D28" s="13">
        <v>1765.7668611624986</v>
      </c>
      <c r="G28" s="14" t="s">
        <v>44</v>
      </c>
      <c r="H28" s="24" t="str">
        <f>[2]Catálogo!F100</f>
        <v>Residuos y desechos</v>
      </c>
      <c r="I28" s="13">
        <v>515.96368697148228</v>
      </c>
    </row>
    <row r="29" spans="2:9" ht="25.5" customHeight="1" outlineLevel="1" x14ac:dyDescent="0.25">
      <c r="B29" s="11" t="s">
        <v>45</v>
      </c>
      <c r="C29" s="30" t="s">
        <v>46</v>
      </c>
      <c r="D29" s="13">
        <v>1708.8490629986086</v>
      </c>
      <c r="G29" s="14" t="s">
        <v>47</v>
      </c>
      <c r="H29" s="24" t="str">
        <f>[2]Catálogo!F101</f>
        <v>Generación y distribución de energía eléctrica, gas, vapor y aire acondicionado</v>
      </c>
      <c r="I29" s="13">
        <v>28.334796270849708</v>
      </c>
    </row>
    <row r="30" spans="2:9" ht="25.5" customHeight="1" outlineLevel="1" x14ac:dyDescent="0.25">
      <c r="B30" s="11" t="s">
        <v>48</v>
      </c>
      <c r="C30" s="30" t="s">
        <v>49</v>
      </c>
      <c r="D30" s="13">
        <v>56.917798163889984</v>
      </c>
      <c r="G30" s="14" t="s">
        <v>13</v>
      </c>
      <c r="H30" s="24" t="str">
        <f>[2]Catálogo!F102</f>
        <v>Agua natural y distribución de agua natural</v>
      </c>
      <c r="I30" s="13">
        <v>7.139738415229079</v>
      </c>
    </row>
    <row r="31" spans="2:9" ht="25.5" customHeight="1" outlineLevel="1" x14ac:dyDescent="0.25">
      <c r="B31" s="11" t="s">
        <v>50</v>
      </c>
      <c r="C31" s="30" t="s">
        <v>51</v>
      </c>
      <c r="D31" s="13">
        <v>20.374089924066752</v>
      </c>
      <c r="G31" s="14" t="s">
        <v>52</v>
      </c>
      <c r="H31" s="24" t="str">
        <f>[2]Catálogo!F107</f>
        <v>Servicios generales y especializados de construcción</v>
      </c>
      <c r="I31" s="13">
        <v>29.585359635795115</v>
      </c>
    </row>
    <row r="32" spans="2:9" ht="25.5" customHeight="1" outlineLevel="1" x14ac:dyDescent="0.25">
      <c r="B32" s="11" t="s">
        <v>53</v>
      </c>
      <c r="C32" s="30" t="s">
        <v>54</v>
      </c>
      <c r="D32" s="13">
        <v>0</v>
      </c>
      <c r="G32" s="14" t="s">
        <v>55</v>
      </c>
      <c r="H32" s="24" t="str">
        <f>[2]Catálogo!F109</f>
        <v>Mantenimiento y reparación de vehículos automotores y motocicletas</v>
      </c>
      <c r="I32" s="13">
        <v>5.3559497939033198</v>
      </c>
    </row>
    <row r="33" spans="2:9" ht="25.5" customHeight="1" outlineLevel="1" x14ac:dyDescent="0.25">
      <c r="B33" s="11" t="s">
        <v>56</v>
      </c>
      <c r="C33" s="30" t="s">
        <v>57</v>
      </c>
      <c r="D33" s="13">
        <v>1594.3075304446229</v>
      </c>
      <c r="G33" s="14" t="s">
        <v>58</v>
      </c>
      <c r="H33" s="24" t="str">
        <f>[2]Catálogo!F111</f>
        <v>Servicio de transporte de carga por vía terrestre</v>
      </c>
      <c r="I33" s="13">
        <v>7.3488774881545194</v>
      </c>
    </row>
    <row r="34" spans="2:9" ht="25.5" customHeight="1" outlineLevel="1" thickBot="1" x14ac:dyDescent="0.3">
      <c r="B34" s="31" t="s">
        <v>59</v>
      </c>
      <c r="C34" s="32" t="s">
        <v>60</v>
      </c>
      <c r="D34" s="33">
        <v>2442.2368461510741</v>
      </c>
      <c r="G34" s="14" t="s">
        <v>61</v>
      </c>
      <c r="H34" s="24" t="str">
        <f>[2]Catálogo!F116</f>
        <v>Servicio de alojamiento</v>
      </c>
      <c r="I34" s="13">
        <v>1.6734591774089451</v>
      </c>
    </row>
    <row r="35" spans="2:9" ht="25.5" customHeight="1" outlineLevel="1" x14ac:dyDescent="0.2">
      <c r="B35" s="25" t="s">
        <v>19</v>
      </c>
      <c r="C35" s="5"/>
      <c r="D35" s="5"/>
      <c r="G35" s="14" t="s">
        <v>62</v>
      </c>
      <c r="H35" s="24" t="str">
        <f>[2]Catálogo!F117</f>
        <v>Servicio de suministro de comidas y bebidas</v>
      </c>
      <c r="I35" s="13">
        <v>2.797087272212825</v>
      </c>
    </row>
    <row r="36" spans="2:9" ht="25.5" customHeight="1" outlineLevel="1" x14ac:dyDescent="0.25">
      <c r="B36" s="25" t="s">
        <v>21</v>
      </c>
      <c r="G36" s="14" t="s">
        <v>63</v>
      </c>
      <c r="H36" s="24" t="str">
        <f>[2]Catálogo!F118</f>
        <v>Servicios de información, telecomunicaciones y radiodifusión</v>
      </c>
      <c r="I36" s="13">
        <v>11.788412855871735</v>
      </c>
    </row>
    <row r="37" spans="2:9" ht="25.5" customHeight="1" outlineLevel="1" thickBot="1" x14ac:dyDescent="0.3">
      <c r="G37" s="14" t="s">
        <v>64</v>
      </c>
      <c r="H37" s="24" t="str">
        <f>[2]Catálogo!F120</f>
        <v>Otros servicios financieros y servicios de banca de inversión</v>
      </c>
      <c r="I37" s="13">
        <v>1.2705211703584225</v>
      </c>
    </row>
    <row r="38" spans="2:9" ht="25.5" customHeight="1" outlineLevel="1" thickBot="1" x14ac:dyDescent="0.3">
      <c r="B38" s="34"/>
      <c r="C38" s="35" t="s">
        <v>65</v>
      </c>
      <c r="D38" s="23">
        <v>98008</v>
      </c>
      <c r="G38" s="14" t="s">
        <v>66</v>
      </c>
      <c r="H38" s="24" t="str">
        <f>[2]Catálogo!F121</f>
        <v>Servicios de Intermediación Financiera Medidos Indirectamente (SIFMI)</v>
      </c>
      <c r="I38" s="13">
        <v>53.071997018447689</v>
      </c>
    </row>
    <row r="39" spans="2:9" ht="25.5" customHeight="1" outlineLevel="1" x14ac:dyDescent="0.2">
      <c r="B39" s="25" t="s">
        <v>19</v>
      </c>
      <c r="C39" s="5"/>
      <c r="D39" s="5"/>
      <c r="G39" s="14" t="s">
        <v>67</v>
      </c>
      <c r="H39" s="24" t="str">
        <f>[2]Catálogo!F122</f>
        <v>Servicios de seguro, reaseguro y fondos de pensiones</v>
      </c>
      <c r="I39" s="13">
        <v>2.6042419740735165</v>
      </c>
    </row>
    <row r="40" spans="2:9" ht="25.5" customHeight="1" outlineLevel="1" x14ac:dyDescent="0.25">
      <c r="B40" s="25" t="s">
        <v>21</v>
      </c>
      <c r="C40" s="5"/>
      <c r="D40" s="5"/>
      <c r="G40" s="14" t="s">
        <v>68</v>
      </c>
      <c r="H40" s="36" t="str">
        <f>[2]Catálogo!F125</f>
        <v>Otros servicios inmobiliarios, excepto alquiler de vivienda</v>
      </c>
      <c r="I40" s="13">
        <v>4.4253513985310011</v>
      </c>
    </row>
    <row r="41" spans="2:9" ht="25.5" customHeight="1" outlineLevel="1" x14ac:dyDescent="0.2">
      <c r="C41" s="5"/>
      <c r="D41" s="5"/>
      <c r="G41" s="14" t="s">
        <v>69</v>
      </c>
      <c r="H41" s="36" t="str">
        <f>[2]Catálogo!F126</f>
        <v>Servicios jurídicos, de contabilidad, auditoría, teneduría de libros y consultoría fiscal</v>
      </c>
      <c r="I41" s="13">
        <v>33.126803959615231</v>
      </c>
    </row>
    <row r="42" spans="2:9" ht="25.5" customHeight="1" outlineLevel="1" x14ac:dyDescent="0.2">
      <c r="C42" s="5"/>
      <c r="D42" s="5"/>
      <c r="G42" s="14" t="s">
        <v>70</v>
      </c>
      <c r="H42" s="36" t="str">
        <f>[2]Catálogo!F129</f>
        <v>Otros servicios profesionales, científicos y técnicos</v>
      </c>
      <c r="I42" s="13">
        <v>76.58330198084218</v>
      </c>
    </row>
    <row r="43" spans="2:9" ht="25.5" customHeight="1" outlineLevel="1" x14ac:dyDescent="0.2">
      <c r="D43" s="5"/>
      <c r="G43" s="14" t="s">
        <v>71</v>
      </c>
      <c r="H43" s="36" t="str">
        <f>[2]Catálogo!F131</f>
        <v>Servicios de arrendamiento o alquiler sin operador</v>
      </c>
      <c r="I43" s="13">
        <v>12.80011890528462</v>
      </c>
    </row>
    <row r="44" spans="2:9" ht="25.5" customHeight="1" outlineLevel="1" x14ac:dyDescent="0.2">
      <c r="D44" s="5"/>
      <c r="G44" s="14" t="s">
        <v>72</v>
      </c>
      <c r="H44" s="36" t="str">
        <f>[2]Catálogo!F132</f>
        <v>Servicios  de agencias de empleo y de dotación de recursos humanos</v>
      </c>
      <c r="I44" s="13">
        <v>2.4664603781069112</v>
      </c>
    </row>
    <row r="45" spans="2:9" ht="25.5" customHeight="1" outlineLevel="1" x14ac:dyDescent="0.2">
      <c r="D45" s="5"/>
      <c r="G45" s="14" t="s">
        <v>73</v>
      </c>
      <c r="H45" s="36" t="str">
        <f>[2]Catálogo!F134</f>
        <v>Servicios de seguridad, sistemas de seguridad e investigación privada</v>
      </c>
      <c r="I45" s="13">
        <v>23.883322689750873</v>
      </c>
    </row>
    <row r="46" spans="2:9" ht="25.5" customHeight="1" outlineLevel="1" x14ac:dyDescent="0.25">
      <c r="G46" s="14" t="s">
        <v>74</v>
      </c>
      <c r="H46" s="36" t="str">
        <f>[2]Catálogo!F138</f>
        <v>Servicios de mantenimiento, reparación e instalación de productos metálicos elaborados, maquinaria y equipo</v>
      </c>
      <c r="I46" s="13">
        <v>16.158634871109619</v>
      </c>
    </row>
    <row r="47" spans="2:9" ht="25.5" customHeight="1" outlineLevel="1" x14ac:dyDescent="0.25">
      <c r="G47" s="14" t="s">
        <v>75</v>
      </c>
      <c r="H47" s="36" t="str">
        <f>[2]Catálogo!F140</f>
        <v>Servicios de apoyo a la agricultura, caza, silvicultura y pesca</v>
      </c>
      <c r="I47" s="13">
        <v>6.1775736807973605</v>
      </c>
    </row>
    <row r="48" spans="2:9" ht="25.5" customHeight="1" outlineLevel="1" thickBot="1" x14ac:dyDescent="0.3">
      <c r="G48" s="14" t="s">
        <v>76</v>
      </c>
      <c r="H48" s="36" t="str">
        <f>[2]Catálogo!F153</f>
        <v>Servicios de asociaciones que sirven a las empresas</v>
      </c>
      <c r="I48" s="13">
        <v>33.95605585924217</v>
      </c>
    </row>
    <row r="49" spans="2:9" ht="25.5" customHeight="1" outlineLevel="1" thickBot="1" x14ac:dyDescent="0.3">
      <c r="G49" s="84" t="s">
        <v>17</v>
      </c>
      <c r="H49" s="85"/>
      <c r="I49" s="23">
        <v>8395.5217258183311</v>
      </c>
    </row>
    <row r="50" spans="2:9" ht="25.5" customHeight="1" outlineLevel="1" x14ac:dyDescent="0.2">
      <c r="G50" s="25" t="s">
        <v>19</v>
      </c>
      <c r="H50" s="5"/>
      <c r="I50" s="5"/>
    </row>
    <row r="51" spans="2:9" ht="15.75" hidden="1" x14ac:dyDescent="0.25">
      <c r="B51" s="5"/>
      <c r="C51" s="5"/>
      <c r="D51" s="5"/>
      <c r="G51" s="25" t="s">
        <v>77</v>
      </c>
    </row>
    <row r="52" spans="2:9" ht="25.5" customHeight="1" x14ac:dyDescent="0.25">
      <c r="G52" s="25" t="s">
        <v>21</v>
      </c>
    </row>
    <row r="53" spans="2:9" ht="12.75" hidden="1" x14ac:dyDescent="0.25"/>
    <row r="54" spans="2:9" ht="12.75" hidden="1" x14ac:dyDescent="0.25"/>
    <row r="55" spans="2:9" ht="12.75" hidden="1" x14ac:dyDescent="0.25"/>
    <row r="56" spans="2:9" ht="12.75" hidden="1" x14ac:dyDescent="0.25"/>
    <row r="57" spans="2:9" ht="12.75" hidden="1" x14ac:dyDescent="0.25"/>
    <row r="58" spans="2:9" ht="12.75" hidden="1" x14ac:dyDescent="0.25"/>
    <row r="59" spans="2:9" ht="12.75" hidden="1" x14ac:dyDescent="0.25"/>
    <row r="60" spans="2:9" ht="12.75" hidden="1" x14ac:dyDescent="0.25"/>
    <row r="61" spans="2:9" ht="12.75" hidden="1" x14ac:dyDescent="0.25"/>
    <row r="62" spans="2:9" ht="15.75" customHeight="1" x14ac:dyDescent="0.25"/>
    <row r="63" spans="2:9" ht="12.75" customHeight="1" x14ac:dyDescent="0.25"/>
    <row r="64" spans="2:9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</sheetData>
  <mergeCells count="5">
    <mergeCell ref="B14:C14"/>
    <mergeCell ref="G49:H49"/>
    <mergeCell ref="B2:C2"/>
    <mergeCell ref="B3:C3"/>
    <mergeCell ref="B5:C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D558-9488-46C2-9BDC-85518131209E}">
  <sheetPr>
    <tabColor rgb="FFC00000"/>
    <pageSetUpPr fitToPage="1"/>
  </sheetPr>
  <dimension ref="A1:F315"/>
  <sheetViews>
    <sheetView showGridLines="0" zoomScale="91" zoomScaleNormal="100" workbookViewId="0">
      <selection activeCell="D11" sqref="D11"/>
    </sheetView>
  </sheetViews>
  <sheetFormatPr baseColWidth="10" defaultColWidth="11.42578125" defaultRowHeight="0" customHeight="1" zeroHeight="1" outlineLevelRow="1" outlineLevelCol="1" x14ac:dyDescent="0.25"/>
  <cols>
    <col min="1" max="1" width="3.5703125" style="39" customWidth="1"/>
    <col min="2" max="3" width="10.5703125" style="39" customWidth="1"/>
    <col min="4" max="4" width="55.7109375" style="39" customWidth="1"/>
    <col min="5" max="5" width="13.5703125" style="40" customWidth="1" outlineLevel="1"/>
    <col min="6" max="6" width="14.28515625" style="40" customWidth="1" outlineLevel="1"/>
    <col min="7" max="7" width="3.5703125" style="39" customWidth="1"/>
    <col min="8" max="68" width="13.5703125" style="39" customWidth="1"/>
    <col min="69" max="69" width="20.5703125" style="39" customWidth="1"/>
    <col min="70" max="73" width="14.140625" style="39" customWidth="1"/>
    <col min="74" max="74" width="20.5703125" style="39" customWidth="1"/>
    <col min="75" max="83" width="13.5703125" style="39" customWidth="1"/>
    <col min="84" max="85" width="20.5703125" style="39" customWidth="1"/>
    <col min="86" max="88" width="17.42578125" style="39" customWidth="1"/>
    <col min="89" max="89" width="20.5703125" style="39" customWidth="1"/>
    <col min="90" max="94" width="17.42578125" style="39" customWidth="1"/>
    <col min="95" max="97" width="20.5703125" style="39" customWidth="1"/>
    <col min="98" max="98" width="11.42578125" style="39"/>
    <col min="99" max="101" width="17.42578125" style="39" customWidth="1"/>
    <col min="102" max="104" width="20.5703125" style="39" customWidth="1"/>
    <col min="105" max="16384" width="11.42578125" style="39"/>
  </cols>
  <sheetData>
    <row r="1" spans="1:6" ht="15" x14ac:dyDescent="0.25"/>
    <row r="2" spans="1:6" ht="25.5" customHeight="1" x14ac:dyDescent="0.25">
      <c r="B2" s="38" t="s">
        <v>96</v>
      </c>
      <c r="C2" s="38"/>
      <c r="D2" s="3"/>
      <c r="E2" s="7"/>
      <c r="F2" s="7"/>
    </row>
    <row r="3" spans="1:6" ht="25.5" customHeight="1" x14ac:dyDescent="0.25">
      <c r="B3" s="38" t="s">
        <v>78</v>
      </c>
      <c r="C3" s="38"/>
      <c r="D3" s="3"/>
      <c r="E3" s="7"/>
      <c r="F3" s="7"/>
    </row>
    <row r="4" spans="1:6" ht="25.5" customHeight="1" x14ac:dyDescent="0.25">
      <c r="B4" s="37" t="s">
        <v>79</v>
      </c>
      <c r="C4" s="37"/>
      <c r="D4" s="5"/>
      <c r="E4" s="7"/>
      <c r="F4" s="7"/>
    </row>
    <row r="5" spans="1:6" ht="25.5" customHeight="1" x14ac:dyDescent="0.25">
      <c r="B5" s="38" t="s">
        <v>98</v>
      </c>
      <c r="C5" s="38"/>
      <c r="D5" s="3"/>
      <c r="E5" s="7"/>
      <c r="F5" s="7"/>
    </row>
    <row r="6" spans="1:6" ht="25.5" customHeight="1" x14ac:dyDescent="0.25">
      <c r="B6" s="38" t="s">
        <v>3</v>
      </c>
      <c r="C6" s="38"/>
      <c r="D6" s="3"/>
      <c r="E6" s="41"/>
      <c r="F6" s="41"/>
    </row>
    <row r="7" spans="1:6" ht="15" x14ac:dyDescent="0.2">
      <c r="B7" s="5"/>
      <c r="C7" s="5"/>
      <c r="D7" s="5"/>
      <c r="E7" s="7"/>
      <c r="F7" s="7"/>
    </row>
    <row r="8" spans="1:6" s="42" customFormat="1" ht="39" customHeight="1" thickBot="1" x14ac:dyDescent="0.3">
      <c r="B8" s="43" t="s">
        <v>80</v>
      </c>
      <c r="C8" s="44" t="s">
        <v>6</v>
      </c>
      <c r="D8" s="45" t="s">
        <v>7</v>
      </c>
      <c r="E8" s="46" t="s">
        <v>8</v>
      </c>
      <c r="F8" s="47" t="s">
        <v>81</v>
      </c>
    </row>
    <row r="9" spans="1:6" s="42" customFormat="1" ht="24.75" customHeight="1" outlineLevel="1" x14ac:dyDescent="0.25">
      <c r="B9" s="49">
        <v>1</v>
      </c>
      <c r="C9" s="50" t="s">
        <v>9</v>
      </c>
      <c r="D9" s="51" t="str">
        <f>[2]Catálogo!F27</f>
        <v>Ganado bovino</v>
      </c>
      <c r="E9" s="52">
        <v>6992.0262741518236</v>
      </c>
      <c r="F9" s="52">
        <f>E9/$E$13*100</f>
        <v>70.465038213474202</v>
      </c>
    </row>
    <row r="10" spans="1:6" s="42" customFormat="1" ht="24.75" customHeight="1" outlineLevel="1" x14ac:dyDescent="0.25">
      <c r="B10" s="49">
        <f>B9+1</f>
        <v>2</v>
      </c>
      <c r="C10" s="50" t="s">
        <v>11</v>
      </c>
      <c r="D10" s="51" t="s">
        <v>82</v>
      </c>
      <c r="E10" s="52">
        <v>2923.5240526183229</v>
      </c>
      <c r="F10" s="52">
        <f t="shared" ref="F10:F11" si="0">E10/$E$13*100</f>
        <v>29.463023451059744</v>
      </c>
    </row>
    <row r="11" spans="1:6" s="42" customFormat="1" ht="24.75" customHeight="1" outlineLevel="1" x14ac:dyDescent="0.25">
      <c r="B11" s="49">
        <f>B10+1</f>
        <v>3</v>
      </c>
      <c r="C11" s="50" t="s">
        <v>13</v>
      </c>
      <c r="D11" s="51" t="s">
        <v>84</v>
      </c>
      <c r="E11" s="52">
        <v>7.1382169718486672</v>
      </c>
      <c r="F11" s="52">
        <f t="shared" si="0"/>
        <v>7.1938335466052411E-2</v>
      </c>
    </row>
    <row r="12" spans="1:6" s="42" customFormat="1" ht="24.75" customHeight="1" thickBot="1" x14ac:dyDescent="0.3">
      <c r="B12" s="88" t="s">
        <v>15</v>
      </c>
      <c r="C12" s="89"/>
      <c r="D12" s="90"/>
      <c r="E12" s="58">
        <v>0</v>
      </c>
      <c r="F12" s="58"/>
    </row>
    <row r="13" spans="1:6" s="42" customFormat="1" ht="24.75" customHeight="1" thickBot="1" x14ac:dyDescent="0.3">
      <c r="A13" s="48"/>
      <c r="B13" s="91" t="s">
        <v>17</v>
      </c>
      <c r="C13" s="91"/>
      <c r="D13" s="92"/>
      <c r="E13" s="61">
        <v>9922.6885437419951</v>
      </c>
      <c r="F13" s="62">
        <f>SUM(F9:F11)</f>
        <v>100</v>
      </c>
    </row>
    <row r="14" spans="1:6" ht="24.75" customHeight="1" x14ac:dyDescent="0.2">
      <c r="B14" s="25" t="s">
        <v>85</v>
      </c>
      <c r="C14" s="25"/>
      <c r="D14" s="25"/>
    </row>
    <row r="15" spans="1:6" ht="24.75" customHeight="1" x14ac:dyDescent="0.25">
      <c r="B15" s="25" t="s">
        <v>21</v>
      </c>
      <c r="C15" s="25"/>
      <c r="D15" s="1"/>
    </row>
    <row r="16" spans="1:6" ht="24.75" customHeight="1" x14ac:dyDescent="0.2">
      <c r="B16" s="25" t="s">
        <v>23</v>
      </c>
      <c r="C16" s="25"/>
      <c r="D16" s="25"/>
    </row>
    <row r="17" spans="2:6" ht="25.5" customHeight="1" outlineLevel="1" x14ac:dyDescent="0.2">
      <c r="B17" s="26" t="s">
        <v>25</v>
      </c>
      <c r="C17" s="26"/>
      <c r="D17" s="25" t="s">
        <v>26</v>
      </c>
    </row>
    <row r="18" spans="2:6" ht="25.5" customHeight="1" outlineLevel="1" x14ac:dyDescent="0.2">
      <c r="B18" s="26" t="s">
        <v>28</v>
      </c>
      <c r="C18" s="26"/>
      <c r="D18" s="25" t="s">
        <v>29</v>
      </c>
    </row>
    <row r="19" spans="2:6" ht="25.5" customHeight="1" outlineLevel="1" x14ac:dyDescent="0.2">
      <c r="E19" s="7"/>
      <c r="F19" s="7"/>
    </row>
    <row r="20" spans="2:6" ht="25.5" customHeight="1" outlineLevel="1" x14ac:dyDescent="0.25"/>
    <row r="21" spans="2:6" ht="25.5" customHeight="1" outlineLevel="1" x14ac:dyDescent="0.2">
      <c r="F21" s="7"/>
    </row>
    <row r="22" spans="2:6" ht="25.5" customHeight="1" outlineLevel="1" x14ac:dyDescent="0.25"/>
    <row r="23" spans="2:6" ht="25.5" customHeight="1" outlineLevel="1" x14ac:dyDescent="0.25"/>
    <row r="24" spans="2:6" ht="25.5" customHeight="1" outlineLevel="1" x14ac:dyDescent="0.25"/>
    <row r="25" spans="2:6" ht="25.5" customHeight="1" outlineLevel="1" x14ac:dyDescent="0.25"/>
    <row r="26" spans="2:6" ht="25.5" customHeight="1" outlineLevel="1" x14ac:dyDescent="0.25"/>
    <row r="27" spans="2:6" ht="25.5" customHeight="1" outlineLevel="1" x14ac:dyDescent="0.25"/>
    <row r="28" spans="2:6" ht="25.5" customHeight="1" outlineLevel="1" x14ac:dyDescent="0.25"/>
    <row r="29" spans="2:6" ht="25.5" customHeight="1" outlineLevel="1" x14ac:dyDescent="0.25"/>
    <row r="30" spans="2:6" ht="25.5" customHeight="1" outlineLevel="1" x14ac:dyDescent="0.25"/>
    <row r="31" spans="2:6" ht="25.5" customHeight="1" outlineLevel="1" x14ac:dyDescent="0.25"/>
    <row r="32" spans="2:6" ht="25.5" customHeight="1" outlineLevel="1" x14ac:dyDescent="0.25"/>
    <row r="33" spans="2:6" ht="25.5" customHeight="1" outlineLevel="1" x14ac:dyDescent="0.25"/>
    <row r="34" spans="2:6" ht="25.5" customHeight="1" outlineLevel="1" x14ac:dyDescent="0.25"/>
    <row r="35" spans="2:6" ht="25.5" customHeight="1" outlineLevel="1" x14ac:dyDescent="0.25"/>
    <row r="36" spans="2:6" ht="25.5" customHeight="1" outlineLevel="1" x14ac:dyDescent="0.2">
      <c r="D36" s="5"/>
      <c r="E36" s="7"/>
      <c r="F36" s="7"/>
    </row>
    <row r="37" spans="2:6" ht="25.5" customHeight="1" outlineLevel="1" x14ac:dyDescent="0.25"/>
    <row r="38" spans="2:6" ht="25.5" customHeight="1" outlineLevel="1" x14ac:dyDescent="0.25"/>
    <row r="39" spans="2:6" ht="25.5" customHeight="1" outlineLevel="1" x14ac:dyDescent="0.25"/>
    <row r="40" spans="2:6" ht="25.5" customHeight="1" outlineLevel="1" x14ac:dyDescent="0.25"/>
    <row r="41" spans="2:6" ht="25.5" customHeight="1" outlineLevel="1" x14ac:dyDescent="0.25"/>
    <row r="42" spans="2:6" ht="25.5" customHeight="1" outlineLevel="1" x14ac:dyDescent="0.25"/>
    <row r="43" spans="2:6" ht="25.5" customHeight="1" outlineLevel="1" x14ac:dyDescent="0.25"/>
    <row r="44" spans="2:6" ht="25.5" customHeight="1" outlineLevel="1" x14ac:dyDescent="0.25"/>
    <row r="45" spans="2:6" ht="25.5" customHeight="1" outlineLevel="1" x14ac:dyDescent="0.25"/>
    <row r="46" spans="2:6" ht="15" hidden="1" x14ac:dyDescent="0.2">
      <c r="B46" s="5"/>
      <c r="C46" s="5"/>
      <c r="D46" s="5"/>
      <c r="E46" s="7"/>
      <c r="F46" s="7"/>
    </row>
    <row r="47" spans="2:6" ht="25.5" customHeight="1" x14ac:dyDescent="0.25"/>
    <row r="48" spans="2:6" ht="15" x14ac:dyDescent="0.25"/>
    <row r="49" ht="15" x14ac:dyDescent="0.25"/>
    <row r="50" ht="15" x14ac:dyDescent="0.25"/>
    <row r="51" ht="15" x14ac:dyDescent="0.25"/>
    <row r="52" ht="15" x14ac:dyDescent="0.25"/>
    <row r="53" ht="15" x14ac:dyDescent="0.25"/>
    <row r="54" ht="15" x14ac:dyDescent="0.25"/>
    <row r="55" ht="15" x14ac:dyDescent="0.25"/>
    <row r="56" ht="15" x14ac:dyDescent="0.25"/>
    <row r="57" ht="15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</sheetData>
  <mergeCells count="2">
    <mergeCell ref="B12:D12"/>
    <mergeCell ref="B13:D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4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7F44F-FB18-4068-A14D-C51CA6A03CA1}">
  <sheetPr>
    <tabColor rgb="FFC00000"/>
    <pageSetUpPr fitToPage="1"/>
  </sheetPr>
  <dimension ref="A1:F333"/>
  <sheetViews>
    <sheetView showGridLines="0" zoomScale="80" zoomScaleNormal="80" workbookViewId="0">
      <selection activeCell="E30" sqref="E30"/>
    </sheetView>
  </sheetViews>
  <sheetFormatPr baseColWidth="10" defaultColWidth="11.42578125" defaultRowHeight="0" customHeight="1" zeroHeight="1" outlineLevelRow="1" x14ac:dyDescent="0.25"/>
  <cols>
    <col min="1" max="1" width="3.5703125" style="39" customWidth="1"/>
    <col min="2" max="3" width="10.42578125" style="40" customWidth="1"/>
    <col min="4" max="4" width="71.85546875" style="39" customWidth="1"/>
    <col min="5" max="5" width="13.5703125" style="40" customWidth="1"/>
    <col min="6" max="6" width="15" style="40" customWidth="1"/>
    <col min="7" max="72" width="13.5703125" style="39" customWidth="1"/>
    <col min="73" max="73" width="20.5703125" style="39" customWidth="1"/>
    <col min="74" max="77" width="14.140625" style="39" customWidth="1"/>
    <col min="78" max="78" width="20.5703125" style="39" customWidth="1"/>
    <col min="79" max="87" width="13.5703125" style="39" customWidth="1"/>
    <col min="88" max="89" width="20.5703125" style="39" customWidth="1"/>
    <col min="90" max="92" width="17.42578125" style="39" customWidth="1"/>
    <col min="93" max="93" width="20.5703125" style="39" customWidth="1"/>
    <col min="94" max="98" width="17.42578125" style="39" customWidth="1"/>
    <col min="99" max="101" width="20.5703125" style="39" customWidth="1"/>
    <col min="102" max="102" width="11.42578125" style="39"/>
    <col min="103" max="105" width="17.42578125" style="39" customWidth="1"/>
    <col min="106" max="108" width="20.5703125" style="39" customWidth="1"/>
    <col min="109" max="16384" width="11.42578125" style="39"/>
  </cols>
  <sheetData>
    <row r="1" spans="1:6" ht="15" x14ac:dyDescent="0.25"/>
    <row r="2" spans="1:6" ht="15.75" x14ac:dyDescent="0.25">
      <c r="B2" s="38" t="s">
        <v>0</v>
      </c>
      <c r="C2" s="38"/>
      <c r="D2" s="3"/>
    </row>
    <row r="3" spans="1:6" ht="15.75" x14ac:dyDescent="0.25">
      <c r="B3" s="38" t="s">
        <v>1</v>
      </c>
      <c r="C3" s="38"/>
      <c r="D3" s="3"/>
    </row>
    <row r="4" spans="1:6" ht="15.75" x14ac:dyDescent="0.25">
      <c r="B4" s="38" t="s">
        <v>2</v>
      </c>
      <c r="C4" s="38"/>
      <c r="D4" s="3"/>
    </row>
    <row r="5" spans="1:6" ht="15.75" customHeight="1" x14ac:dyDescent="0.25">
      <c r="B5" s="38" t="s">
        <v>3</v>
      </c>
      <c r="C5" s="38"/>
      <c r="D5" s="3"/>
    </row>
    <row r="6" spans="1:6" ht="15" x14ac:dyDescent="0.25"/>
    <row r="7" spans="1:6" ht="15.75" x14ac:dyDescent="0.25">
      <c r="B7" s="37" t="s">
        <v>5</v>
      </c>
      <c r="C7" s="37"/>
      <c r="D7" s="5"/>
      <c r="E7" s="7"/>
      <c r="F7" s="7"/>
    </row>
    <row r="8" spans="1:6" ht="15" x14ac:dyDescent="0.2">
      <c r="B8" s="7"/>
      <c r="C8" s="7"/>
      <c r="D8" s="5"/>
      <c r="E8" s="7"/>
      <c r="F8" s="7"/>
    </row>
    <row r="9" spans="1:6" ht="39" customHeight="1" thickBot="1" x14ac:dyDescent="0.3">
      <c r="B9" s="70" t="s">
        <v>80</v>
      </c>
      <c r="C9" s="71" t="s">
        <v>6</v>
      </c>
      <c r="D9" s="72" t="s">
        <v>7</v>
      </c>
      <c r="E9" s="73" t="s">
        <v>8</v>
      </c>
      <c r="F9" s="74" t="s">
        <v>81</v>
      </c>
    </row>
    <row r="10" spans="1:6" ht="24.75" customHeight="1" outlineLevel="1" x14ac:dyDescent="0.25">
      <c r="B10" s="63"/>
      <c r="C10" s="68" t="s">
        <v>10</v>
      </c>
      <c r="D10" s="75" t="str">
        <f>[2]Catálogo!F17</f>
        <v>Tabaco y otras plantas no perennes</v>
      </c>
      <c r="E10" s="66">
        <v>762.91318255666658</v>
      </c>
      <c r="F10" s="66">
        <f>E10/$E$49*100</f>
        <v>18.607624003033262</v>
      </c>
    </row>
    <row r="11" spans="1:6" ht="24.75" customHeight="1" outlineLevel="1" x14ac:dyDescent="0.25">
      <c r="B11" s="63"/>
      <c r="C11" s="76" t="s">
        <v>12</v>
      </c>
      <c r="D11" s="77" t="str">
        <f>[2]Catálogo!F32</f>
        <v>Otros productos de animales vivos</v>
      </c>
      <c r="E11" s="66">
        <v>81.884613328640995</v>
      </c>
      <c r="F11" s="66">
        <f t="shared" ref="F11:F48" si="0">E11/$E$49*100</f>
        <v>1.997184124341624</v>
      </c>
    </row>
    <row r="12" spans="1:6" ht="24.75" customHeight="1" x14ac:dyDescent="0.25">
      <c r="A12" s="78"/>
      <c r="B12" s="63"/>
      <c r="C12" s="79" t="s">
        <v>14</v>
      </c>
      <c r="D12" s="80" t="str">
        <f>[2]Catálogo!F39</f>
        <v>Minerales no metálicos</v>
      </c>
      <c r="E12" s="66">
        <v>28.740700875145905</v>
      </c>
      <c r="F12" s="66">
        <f t="shared" si="0"/>
        <v>0.70099215441023155</v>
      </c>
    </row>
    <row r="13" spans="1:6" ht="24.75" customHeight="1" x14ac:dyDescent="0.25">
      <c r="B13" s="63"/>
      <c r="C13" s="79" t="s">
        <v>16</v>
      </c>
      <c r="D13" s="80" t="str">
        <f>[2]Catálogo!F58</f>
        <v>Azúcar de caña sin refinar y refinada, melaza y los demás azúcares n.c.p.</v>
      </c>
      <c r="E13" s="66">
        <v>66.707651052014384</v>
      </c>
      <c r="F13" s="66">
        <f t="shared" si="0"/>
        <v>1.6270146030793389</v>
      </c>
    </row>
    <row r="14" spans="1:6" ht="24.75" customHeight="1" x14ac:dyDescent="0.25">
      <c r="A14" s="78"/>
      <c r="B14" s="63"/>
      <c r="C14" s="64" t="s">
        <v>18</v>
      </c>
      <c r="D14" s="65" t="str">
        <f>[2]Catálogo!F60</f>
        <v>Preparados para alimentación animal</v>
      </c>
      <c r="E14" s="66">
        <v>1504.0160764047539</v>
      </c>
      <c r="F14" s="66">
        <f t="shared" si="0"/>
        <v>36.683290162151962</v>
      </c>
    </row>
    <row r="15" spans="1:6" ht="24.75" customHeight="1" x14ac:dyDescent="0.25">
      <c r="B15" s="63"/>
      <c r="C15" s="64" t="s">
        <v>20</v>
      </c>
      <c r="D15" s="65" t="str">
        <f>[2]Catálogo!F65</f>
        <v>Hilados, tejidos, telas y otros productos textiles excepto prendas de vestir</v>
      </c>
      <c r="E15" s="66">
        <v>2.7530272525445034</v>
      </c>
      <c r="F15" s="66">
        <f t="shared" si="0"/>
        <v>6.7146953489228542E-2</v>
      </c>
    </row>
    <row r="16" spans="1:6" ht="24.75" customHeight="1" x14ac:dyDescent="0.25">
      <c r="B16" s="63"/>
      <c r="C16" s="64" t="s">
        <v>22</v>
      </c>
      <c r="D16" s="65" t="str">
        <f>[2]Catálogo!F66</f>
        <v>Prendas de vestir, adobo y teñido de pieles</v>
      </c>
      <c r="E16" s="66">
        <v>3.1127913527694404</v>
      </c>
      <c r="F16" s="66">
        <f t="shared" si="0"/>
        <v>7.5921680758117976E-2</v>
      </c>
    </row>
    <row r="17" spans="2:6" ht="24.75" customHeight="1" x14ac:dyDescent="0.25">
      <c r="B17" s="63"/>
      <c r="C17" s="64" t="s">
        <v>24</v>
      </c>
      <c r="D17" s="65" t="str">
        <f>[2]Catálogo!F70</f>
        <v>Pasta de papel y papel</v>
      </c>
      <c r="E17" s="66">
        <v>16.919841396408678</v>
      </c>
      <c r="F17" s="66">
        <f t="shared" si="0"/>
        <v>0.41267873474180644</v>
      </c>
    </row>
    <row r="18" spans="2:6" ht="25.5" customHeight="1" outlineLevel="1" x14ac:dyDescent="0.25">
      <c r="B18" s="63"/>
      <c r="C18" s="64" t="s">
        <v>27</v>
      </c>
      <c r="D18" s="65" t="str">
        <f>[2]Catálogo!F71</f>
        <v>Envases de papel y cartón</v>
      </c>
      <c r="E18" s="66">
        <v>1.882276632460727</v>
      </c>
      <c r="F18" s="66">
        <f t="shared" si="0"/>
        <v>4.5909150146220372E-2</v>
      </c>
    </row>
    <row r="19" spans="2:6" ht="25.5" customHeight="1" outlineLevel="1" x14ac:dyDescent="0.25">
      <c r="B19" s="63"/>
      <c r="C19" s="64" t="s">
        <v>30</v>
      </c>
      <c r="D19" s="65" t="str">
        <f>[2]Catálogo!F74</f>
        <v>Gasolinas, diésel oil y fuel oils</v>
      </c>
      <c r="E19" s="66">
        <v>60.334588225434786</v>
      </c>
      <c r="F19" s="66">
        <f t="shared" si="0"/>
        <v>1.4715741682617201</v>
      </c>
    </row>
    <row r="20" spans="2:6" ht="25.5" customHeight="1" outlineLevel="1" x14ac:dyDescent="0.25">
      <c r="B20" s="63"/>
      <c r="C20" s="64" t="s">
        <v>31</v>
      </c>
      <c r="D20" s="65" t="str">
        <f>[2]Catálogo!F75</f>
        <v>Aceites, grasas lubricantes y otros aceites preparados</v>
      </c>
      <c r="E20" s="66">
        <v>11.925358780461089</v>
      </c>
      <c r="F20" s="66">
        <f t="shared" si="0"/>
        <v>0.290862181125844</v>
      </c>
    </row>
    <row r="21" spans="2:6" ht="25.5" customHeight="1" outlineLevel="1" x14ac:dyDescent="0.25">
      <c r="B21" s="63"/>
      <c r="C21" s="64" t="s">
        <v>32</v>
      </c>
      <c r="D21" s="65" t="str">
        <f>[2]Catálogo!F77</f>
        <v>Abonos, fertilizantes y pesticidas</v>
      </c>
      <c r="E21" s="66">
        <v>81.015396283857626</v>
      </c>
      <c r="F21" s="66">
        <f t="shared" si="0"/>
        <v>1.9759837252448953</v>
      </c>
    </row>
    <row r="22" spans="2:6" ht="25.5" customHeight="1" outlineLevel="1" x14ac:dyDescent="0.25">
      <c r="B22" s="63"/>
      <c r="C22" s="64" t="s">
        <v>33</v>
      </c>
      <c r="D22" s="65" t="str">
        <f>[2]Catálogo!F79</f>
        <v>Jabón, preparados de limpieza, perfumes y preparados de toilet</v>
      </c>
      <c r="E22" s="66">
        <v>6.6480511633984509</v>
      </c>
      <c r="F22" s="66">
        <f t="shared" si="0"/>
        <v>0.16214746216193202</v>
      </c>
    </row>
    <row r="23" spans="2:6" ht="25.5" customHeight="1" outlineLevel="1" x14ac:dyDescent="0.25">
      <c r="B23" s="63"/>
      <c r="C23" s="64" t="s">
        <v>34</v>
      </c>
      <c r="D23" s="65" t="str">
        <f>[2]Catálogo!F80</f>
        <v>Otros productos químicos</v>
      </c>
      <c r="E23" s="66">
        <v>0.36905610491540042</v>
      </c>
      <c r="F23" s="66">
        <f t="shared" si="0"/>
        <v>9.0013613518595739E-3</v>
      </c>
    </row>
    <row r="24" spans="2:6" ht="25.5" customHeight="1" outlineLevel="1" x14ac:dyDescent="0.25">
      <c r="B24" s="63"/>
      <c r="C24" s="64" t="s">
        <v>35</v>
      </c>
      <c r="D24" s="65" t="str">
        <f>[2]Catálogo!F81</f>
        <v>Productos farmacéuticos</v>
      </c>
      <c r="E24" s="66">
        <v>555.24383853255813</v>
      </c>
      <c r="F24" s="66">
        <f t="shared" si="0"/>
        <v>13.542522024316108</v>
      </c>
    </row>
    <row r="25" spans="2:6" ht="25.5" customHeight="1" outlineLevel="1" x14ac:dyDescent="0.25">
      <c r="B25" s="63"/>
      <c r="C25" s="64" t="s">
        <v>37</v>
      </c>
      <c r="D25" s="65" t="str">
        <f>[2]Catálogo!F90</f>
        <v>Otros productos elaborados de metal</v>
      </c>
      <c r="E25" s="66">
        <v>9.7954063243820446</v>
      </c>
      <c r="F25" s="66">
        <f t="shared" si="0"/>
        <v>0.23891216197132209</v>
      </c>
    </row>
    <row r="26" spans="2:6" ht="25.5" customHeight="1" outlineLevel="1" x14ac:dyDescent="0.25">
      <c r="B26" s="63"/>
      <c r="C26" s="64" t="s">
        <v>38</v>
      </c>
      <c r="D26" s="65" t="str">
        <f>[2]Catálogo!F97</f>
        <v>Equipo de transporte</v>
      </c>
      <c r="E26" s="66">
        <v>7.9778742903911493</v>
      </c>
      <c r="F26" s="66">
        <f t="shared" si="0"/>
        <v>0.19458214713446506</v>
      </c>
    </row>
    <row r="27" spans="2:6" ht="25.5" customHeight="1" outlineLevel="1" x14ac:dyDescent="0.25">
      <c r="B27" s="63"/>
      <c r="C27" s="64" t="s">
        <v>41</v>
      </c>
      <c r="D27" s="65" t="str">
        <f>[2]Catálogo!F99</f>
        <v>Otros artículos n.c.p.</v>
      </c>
      <c r="E27" s="66">
        <v>21.251733735861809</v>
      </c>
      <c r="F27" s="66">
        <f t="shared" si="0"/>
        <v>0.51833456258323563</v>
      </c>
    </row>
    <row r="28" spans="2:6" ht="25.5" customHeight="1" outlineLevel="1" x14ac:dyDescent="0.25">
      <c r="B28" s="63"/>
      <c r="C28" s="64" t="s">
        <v>44</v>
      </c>
      <c r="D28" s="65" t="str">
        <f>[2]Catálogo!F100</f>
        <v>Residuos y desechos</v>
      </c>
      <c r="E28" s="66">
        <v>515.96368697148228</v>
      </c>
      <c r="F28" s="66">
        <f t="shared" si="0"/>
        <v>12.584470298717083</v>
      </c>
    </row>
    <row r="29" spans="2:6" ht="25.5" customHeight="1" outlineLevel="1" x14ac:dyDescent="0.25">
      <c r="B29" s="63"/>
      <c r="C29" s="64" t="s">
        <v>47</v>
      </c>
      <c r="D29" s="65" t="str">
        <f>[2]Catálogo!F101</f>
        <v>Generación y distribución de energía eléctrica, gas, vapor y aire acondicionado</v>
      </c>
      <c r="E29" s="66">
        <v>28.334796270849708</v>
      </c>
      <c r="F29" s="66">
        <f t="shared" si="0"/>
        <v>0.69109204987601403</v>
      </c>
    </row>
    <row r="30" spans="2:6" ht="25.5" customHeight="1" outlineLevel="1" x14ac:dyDescent="0.25">
      <c r="B30" s="63"/>
      <c r="C30" s="64" t="s">
        <v>13</v>
      </c>
      <c r="D30" s="65" t="str">
        <f>[2]Catálogo!F102</f>
        <v>Agua natural y distribución de agua natural</v>
      </c>
      <c r="E30" s="66">
        <v>7.139738415229079</v>
      </c>
      <c r="F30" s="66">
        <f t="shared" si="0"/>
        <v>0.17413982475093406</v>
      </c>
    </row>
    <row r="31" spans="2:6" ht="25.5" customHeight="1" outlineLevel="1" x14ac:dyDescent="0.25">
      <c r="B31" s="63"/>
      <c r="C31" s="64" t="s">
        <v>52</v>
      </c>
      <c r="D31" s="65" t="str">
        <f>[2]Catálogo!F107</f>
        <v>Servicios generales y especializados de construcción</v>
      </c>
      <c r="E31" s="66">
        <v>29.585359635795115</v>
      </c>
      <c r="F31" s="66">
        <f t="shared" si="0"/>
        <v>0.72159357143694702</v>
      </c>
    </row>
    <row r="32" spans="2:6" ht="25.5" customHeight="1" outlineLevel="1" x14ac:dyDescent="0.25">
      <c r="B32" s="63"/>
      <c r="C32" s="64" t="s">
        <v>55</v>
      </c>
      <c r="D32" s="65" t="str">
        <f>[2]Catálogo!F109</f>
        <v>Mantenimiento y reparación de vehículos automotores y motocicletas</v>
      </c>
      <c r="E32" s="66">
        <v>5.3559497939033198</v>
      </c>
      <c r="F32" s="66">
        <f t="shared" si="0"/>
        <v>0.13063281933350779</v>
      </c>
    </row>
    <row r="33" spans="2:6" ht="25.5" customHeight="1" outlineLevel="1" x14ac:dyDescent="0.25">
      <c r="B33" s="63"/>
      <c r="C33" s="64" t="s">
        <v>58</v>
      </c>
      <c r="D33" s="65" t="str">
        <f>[2]Catálogo!F111</f>
        <v>Servicio de transporte de carga por vía terrestre</v>
      </c>
      <c r="E33" s="66">
        <v>7.3488774881545194</v>
      </c>
      <c r="F33" s="66">
        <f t="shared" si="0"/>
        <v>0.17924077374790659</v>
      </c>
    </row>
    <row r="34" spans="2:6" ht="25.5" customHeight="1" outlineLevel="1" x14ac:dyDescent="0.25">
      <c r="B34" s="63"/>
      <c r="C34" s="64" t="s">
        <v>61</v>
      </c>
      <c r="D34" s="65" t="str">
        <f>[2]Catálogo!F116</f>
        <v>Servicio de alojamiento</v>
      </c>
      <c r="E34" s="66">
        <v>1.6734591774089451</v>
      </c>
      <c r="F34" s="66">
        <f t="shared" si="0"/>
        <v>4.0816045481476625E-2</v>
      </c>
    </row>
    <row r="35" spans="2:6" ht="25.5" customHeight="1" outlineLevel="1" x14ac:dyDescent="0.25">
      <c r="B35" s="63"/>
      <c r="C35" s="64" t="s">
        <v>62</v>
      </c>
      <c r="D35" s="65" t="str">
        <f>[2]Catálogo!F117</f>
        <v>Servicio de suministro de comidas y bebidas</v>
      </c>
      <c r="E35" s="66">
        <v>2.797087272212825</v>
      </c>
      <c r="F35" s="66">
        <f t="shared" si="0"/>
        <v>6.8221587272337264E-2</v>
      </c>
    </row>
    <row r="36" spans="2:6" ht="25.5" customHeight="1" outlineLevel="1" x14ac:dyDescent="0.25">
      <c r="B36" s="63"/>
      <c r="C36" s="64" t="s">
        <v>63</v>
      </c>
      <c r="D36" s="65" t="str">
        <f>[2]Catálogo!F118</f>
        <v>Servicios de información, telecomunicaciones y radiodifusión</v>
      </c>
      <c r="E36" s="66">
        <v>11.788412855871735</v>
      </c>
      <c r="F36" s="66">
        <f t="shared" si="0"/>
        <v>0.28752203924368797</v>
      </c>
    </row>
    <row r="37" spans="2:6" ht="25.5" customHeight="1" outlineLevel="1" x14ac:dyDescent="0.25">
      <c r="B37" s="63"/>
      <c r="C37" s="64" t="s">
        <v>64</v>
      </c>
      <c r="D37" s="65" t="str">
        <f>[2]Catálogo!F120</f>
        <v>Otros servicios financieros y servicios de banca de inversión</v>
      </c>
      <c r="E37" s="66">
        <v>1.2705211703584225</v>
      </c>
      <c r="F37" s="66">
        <f t="shared" si="0"/>
        <v>3.0988296920884961E-2</v>
      </c>
    </row>
    <row r="38" spans="2:6" ht="25.5" customHeight="1" outlineLevel="1" x14ac:dyDescent="0.25">
      <c r="B38" s="63"/>
      <c r="C38" s="64" t="s">
        <v>66</v>
      </c>
      <c r="D38" s="65" t="str">
        <f>[2]Catálogo!F121</f>
        <v>Servicios de Intermediación Financiera Medidos Indirectamente (SIFMI)</v>
      </c>
      <c r="E38" s="66">
        <v>53.071997018447689</v>
      </c>
      <c r="F38" s="66">
        <f t="shared" si="0"/>
        <v>1.2944379363061085</v>
      </c>
    </row>
    <row r="39" spans="2:6" ht="25.5" customHeight="1" outlineLevel="1" x14ac:dyDescent="0.25">
      <c r="B39" s="63"/>
      <c r="C39" s="64" t="s">
        <v>67</v>
      </c>
      <c r="D39" s="65" t="str">
        <f>[2]Catálogo!F122</f>
        <v>Servicios de seguro, reaseguro y fondos de pensiones</v>
      </c>
      <c r="E39" s="66">
        <v>2.6042419740735165</v>
      </c>
      <c r="F39" s="66">
        <f t="shared" si="0"/>
        <v>6.35180471047605E-2</v>
      </c>
    </row>
    <row r="40" spans="2:6" ht="25.5" customHeight="1" outlineLevel="1" x14ac:dyDescent="0.25">
      <c r="B40" s="63"/>
      <c r="C40" s="68" t="s">
        <v>68</v>
      </c>
      <c r="D40" s="69" t="str">
        <f>[2]Catálogo!F125</f>
        <v>Otros servicios inmobiliarios, excepto alquiler de vivienda</v>
      </c>
      <c r="E40" s="66">
        <v>4.4253513985310011</v>
      </c>
      <c r="F40" s="66">
        <f t="shared" si="0"/>
        <v>0.10793531529918997</v>
      </c>
    </row>
    <row r="41" spans="2:6" ht="25.5" customHeight="1" outlineLevel="1" x14ac:dyDescent="0.25">
      <c r="B41" s="63"/>
      <c r="C41" s="68" t="s">
        <v>69</v>
      </c>
      <c r="D41" s="69" t="str">
        <f>[2]Catálogo!F126</f>
        <v>Servicios jurídicos, de contabilidad, auditoría, teneduría de libros y consultoría fiscal</v>
      </c>
      <c r="E41" s="66">
        <v>33.126803959615231</v>
      </c>
      <c r="F41" s="66">
        <f t="shared" si="0"/>
        <v>0.80797019450758911</v>
      </c>
    </row>
    <row r="42" spans="2:6" ht="25.5" customHeight="1" outlineLevel="1" x14ac:dyDescent="0.25">
      <c r="B42" s="63"/>
      <c r="C42" s="68" t="s">
        <v>70</v>
      </c>
      <c r="D42" s="69" t="str">
        <f>[2]Catálogo!F129</f>
        <v>Otros servicios profesionales, científicos y técnicos</v>
      </c>
      <c r="E42" s="66">
        <v>76.58330198084218</v>
      </c>
      <c r="F42" s="66">
        <f t="shared" si="0"/>
        <v>1.867883948989723</v>
      </c>
    </row>
    <row r="43" spans="2:6" ht="25.5" customHeight="1" outlineLevel="1" x14ac:dyDescent="0.25">
      <c r="B43" s="63"/>
      <c r="C43" s="68" t="s">
        <v>71</v>
      </c>
      <c r="D43" s="69" t="str">
        <f>[2]Catálogo!F131</f>
        <v>Servicios de arrendamiento o alquiler sin operador</v>
      </c>
      <c r="E43" s="66">
        <v>12.80011890528462</v>
      </c>
      <c r="F43" s="66">
        <f t="shared" si="0"/>
        <v>0.31219777719067365</v>
      </c>
    </row>
    <row r="44" spans="2:6" ht="25.5" customHeight="1" outlineLevel="1" x14ac:dyDescent="0.25">
      <c r="B44" s="63"/>
      <c r="C44" s="68" t="s">
        <v>72</v>
      </c>
      <c r="D44" s="69" t="str">
        <f>[2]Catálogo!F132</f>
        <v>Servicios  de agencias de empleo y de dotación de recursos humanos</v>
      </c>
      <c r="E44" s="66">
        <v>2.4664603781069112</v>
      </c>
      <c r="F44" s="66">
        <f t="shared" si="0"/>
        <v>6.0157523009878956E-2</v>
      </c>
    </row>
    <row r="45" spans="2:6" ht="25.5" customHeight="1" outlineLevel="1" x14ac:dyDescent="0.25">
      <c r="B45" s="63"/>
      <c r="C45" s="68" t="s">
        <v>73</v>
      </c>
      <c r="D45" s="69" t="str">
        <f>[2]Catálogo!F134</f>
        <v>Servicios de seguridad, sistemas de seguridad e investigación privada</v>
      </c>
      <c r="E45" s="66">
        <v>23.883322689750873</v>
      </c>
      <c r="F45" s="66">
        <f t="shared" si="0"/>
        <v>0.58251960867249508</v>
      </c>
    </row>
    <row r="46" spans="2:6" ht="25.5" customHeight="1" outlineLevel="1" x14ac:dyDescent="0.25">
      <c r="B46" s="63"/>
      <c r="C46" s="68" t="s">
        <v>74</v>
      </c>
      <c r="D46" s="69" t="str">
        <f>[2]Catálogo!F138</f>
        <v>Servicios de mantenimiento, reparación e instalación de productos metálicos elaborados, maquinaria y equipo</v>
      </c>
      <c r="E46" s="66">
        <v>16.158634871109619</v>
      </c>
      <c r="F46" s="66">
        <f t="shared" si="0"/>
        <v>0.39411273649289263</v>
      </c>
    </row>
    <row r="47" spans="2:6" ht="25.5" customHeight="1" outlineLevel="1" x14ac:dyDescent="0.25">
      <c r="B47" s="63"/>
      <c r="C47" s="68" t="s">
        <v>75</v>
      </c>
      <c r="D47" s="69" t="str">
        <f>[2]Catálogo!F140</f>
        <v>Servicios de apoyo a la agricultura, caza, silvicultura y pesca</v>
      </c>
      <c r="E47" s="66">
        <v>6.1775736807973605</v>
      </c>
      <c r="F47" s="66">
        <f t="shared" si="0"/>
        <v>0.15067241061177156</v>
      </c>
    </row>
    <row r="48" spans="2:6" ht="25.5" customHeight="1" outlineLevel="1" thickBot="1" x14ac:dyDescent="0.3">
      <c r="B48" s="63"/>
      <c r="C48" s="68" t="s">
        <v>76</v>
      </c>
      <c r="D48" s="69" t="str">
        <f>[2]Catálogo!F153</f>
        <v>Servicios de asociaciones que sirven a las empresas</v>
      </c>
      <c r="E48" s="66">
        <v>33.95605585924217</v>
      </c>
      <c r="F48" s="66">
        <f t="shared" si="0"/>
        <v>0.82819583473096137</v>
      </c>
    </row>
    <row r="49" spans="1:6" ht="25.5" customHeight="1" outlineLevel="1" thickBot="1" x14ac:dyDescent="0.3">
      <c r="B49" s="93" t="s">
        <v>17</v>
      </c>
      <c r="C49" s="94"/>
      <c r="D49" s="95"/>
      <c r="E49" s="67">
        <f>SUBTOTAL(9,E10:E48)</f>
        <v>4100.0032160597329</v>
      </c>
      <c r="F49" s="67">
        <f>SUM(F10:F48)</f>
        <v>100.00000000000001</v>
      </c>
    </row>
    <row r="50" spans="1:6" ht="25.5" customHeight="1" outlineLevel="1" x14ac:dyDescent="0.2">
      <c r="D50" s="5"/>
      <c r="E50" s="7"/>
      <c r="F50" s="7"/>
    </row>
    <row r="51" spans="1:6" ht="15" x14ac:dyDescent="0.25"/>
    <row r="52" spans="1:6" ht="15" x14ac:dyDescent="0.25"/>
    <row r="53" spans="1:6" ht="25.5" customHeight="1" x14ac:dyDescent="0.25">
      <c r="B53" s="38" t="s">
        <v>97</v>
      </c>
      <c r="C53" s="38"/>
    </row>
    <row r="54" spans="1:6" ht="25.5" customHeight="1" x14ac:dyDescent="0.25">
      <c r="B54" s="38" t="s">
        <v>78</v>
      </c>
      <c r="C54" s="38"/>
    </row>
    <row r="55" spans="1:6" ht="25.5" customHeight="1" x14ac:dyDescent="0.25">
      <c r="B55" s="37" t="s">
        <v>86</v>
      </c>
      <c r="C55" s="37"/>
    </row>
    <row r="56" spans="1:6" ht="25.5" customHeight="1" x14ac:dyDescent="0.25">
      <c r="B56" s="38" t="s">
        <v>98</v>
      </c>
      <c r="C56" s="38"/>
    </row>
    <row r="57" spans="1:6" ht="25.5" customHeight="1" x14ac:dyDescent="0.25">
      <c r="B57" s="38" t="s">
        <v>3</v>
      </c>
      <c r="C57" s="38"/>
    </row>
    <row r="58" spans="1:6" ht="15" x14ac:dyDescent="0.25"/>
    <row r="59" spans="1:6" ht="39" customHeight="1" thickBot="1" x14ac:dyDescent="0.3">
      <c r="B59" s="43" t="s">
        <v>80</v>
      </c>
      <c r="C59" s="44" t="s">
        <v>6</v>
      </c>
      <c r="D59" s="45" t="s">
        <v>7</v>
      </c>
      <c r="E59" s="46" t="s">
        <v>8</v>
      </c>
      <c r="F59" s="47" t="s">
        <v>81</v>
      </c>
    </row>
    <row r="60" spans="1:6" ht="24.75" customHeight="1" outlineLevel="1" x14ac:dyDescent="0.25">
      <c r="B60" s="53">
        <v>1</v>
      </c>
      <c r="C60" s="54" t="s">
        <v>18</v>
      </c>
      <c r="D60" s="55" t="s">
        <v>87</v>
      </c>
      <c r="E60" s="52">
        <v>1504.0160764047539</v>
      </c>
      <c r="F60" s="52">
        <f>E60/$E$70*100</f>
        <v>40.024545201477736</v>
      </c>
    </row>
    <row r="61" spans="1:6" ht="24.75" customHeight="1" outlineLevel="1" x14ac:dyDescent="0.25">
      <c r="B61" s="53">
        <f>B60+1</f>
        <v>2</v>
      </c>
      <c r="C61" s="54" t="s">
        <v>10</v>
      </c>
      <c r="D61" s="81" t="s">
        <v>88</v>
      </c>
      <c r="E61" s="52">
        <v>762.91318255666658</v>
      </c>
      <c r="F61" s="52">
        <f t="shared" ref="F61:F69" si="1">E61/$E$70*100</f>
        <v>20.302477905046693</v>
      </c>
    </row>
    <row r="62" spans="1:6" ht="24.75" customHeight="1" x14ac:dyDescent="0.25">
      <c r="A62" s="78"/>
      <c r="B62" s="53">
        <f t="shared" ref="B62:B69" si="2">B61+1</f>
        <v>3</v>
      </c>
      <c r="C62" s="56" t="s">
        <v>35</v>
      </c>
      <c r="D62" s="57" t="s">
        <v>89</v>
      </c>
      <c r="E62" s="52">
        <v>555.24383853255813</v>
      </c>
      <c r="F62" s="52">
        <f t="shared" si="1"/>
        <v>14.776026973270012</v>
      </c>
    </row>
    <row r="63" spans="1:6" ht="24.75" customHeight="1" x14ac:dyDescent="0.25">
      <c r="B63" s="53">
        <f t="shared" si="2"/>
        <v>4</v>
      </c>
      <c r="C63" s="56" t="s">
        <v>44</v>
      </c>
      <c r="D63" s="57" t="s">
        <v>90</v>
      </c>
      <c r="E63" s="52">
        <v>515.96368697148228</v>
      </c>
      <c r="F63" s="52">
        <f t="shared" si="1"/>
        <v>13.730712214776647</v>
      </c>
    </row>
    <row r="64" spans="1:6" ht="24.75" customHeight="1" x14ac:dyDescent="0.25">
      <c r="A64" s="78"/>
      <c r="B64" s="53">
        <f t="shared" si="2"/>
        <v>5</v>
      </c>
      <c r="C64" s="82" t="s">
        <v>12</v>
      </c>
      <c r="D64" s="83" t="s">
        <v>83</v>
      </c>
      <c r="E64" s="52">
        <v>81.884613328640995</v>
      </c>
      <c r="F64" s="52">
        <f t="shared" si="1"/>
        <v>2.1790953294276627</v>
      </c>
    </row>
    <row r="65" spans="2:6" ht="24.75" customHeight="1" x14ac:dyDescent="0.25">
      <c r="B65" s="53">
        <f t="shared" si="2"/>
        <v>6</v>
      </c>
      <c r="C65" s="56" t="s">
        <v>32</v>
      </c>
      <c r="D65" s="57" t="s">
        <v>91</v>
      </c>
      <c r="E65" s="52">
        <v>81.015396283857626</v>
      </c>
      <c r="F65" s="52">
        <f t="shared" si="1"/>
        <v>2.1559639165095308</v>
      </c>
    </row>
    <row r="66" spans="2:6" ht="24.75" customHeight="1" x14ac:dyDescent="0.25">
      <c r="B66" s="53">
        <f t="shared" si="2"/>
        <v>7</v>
      </c>
      <c r="C66" s="56" t="s">
        <v>70</v>
      </c>
      <c r="D66" s="57" t="s">
        <v>92</v>
      </c>
      <c r="E66" s="52">
        <v>76.58330198084218</v>
      </c>
      <c r="F66" s="52">
        <f t="shared" si="1"/>
        <v>2.0380179972130441</v>
      </c>
    </row>
    <row r="67" spans="2:6" ht="24.75" customHeight="1" x14ac:dyDescent="0.25">
      <c r="B67" s="53">
        <f t="shared" si="2"/>
        <v>8</v>
      </c>
      <c r="C67" s="59" t="s">
        <v>16</v>
      </c>
      <c r="D67" s="60" t="s">
        <v>93</v>
      </c>
      <c r="E67" s="52">
        <v>66.707651052014384</v>
      </c>
      <c r="F67" s="52">
        <f t="shared" si="1"/>
        <v>1.7752093456328393</v>
      </c>
    </row>
    <row r="68" spans="2:6" ht="25.5" customHeight="1" outlineLevel="1" x14ac:dyDescent="0.25">
      <c r="B68" s="53">
        <f t="shared" si="2"/>
        <v>9</v>
      </c>
      <c r="C68" s="56" t="s">
        <v>30</v>
      </c>
      <c r="D68" s="57" t="s">
        <v>94</v>
      </c>
      <c r="E68" s="52">
        <v>60.334588225434786</v>
      </c>
      <c r="F68" s="52">
        <f t="shared" si="1"/>
        <v>1.6056107986651489</v>
      </c>
    </row>
    <row r="69" spans="2:6" ht="25.5" customHeight="1" outlineLevel="1" thickBot="1" x14ac:dyDescent="0.3">
      <c r="B69" s="53">
        <f t="shared" si="2"/>
        <v>10</v>
      </c>
      <c r="C69" s="56" t="s">
        <v>66</v>
      </c>
      <c r="D69" s="57" t="s">
        <v>95</v>
      </c>
      <c r="E69" s="52">
        <v>53.071997018447689</v>
      </c>
      <c r="F69" s="52">
        <f t="shared" si="1"/>
        <v>1.4123403179806842</v>
      </c>
    </row>
    <row r="70" spans="2:6" ht="25.5" customHeight="1" outlineLevel="1" thickBot="1" x14ac:dyDescent="0.3">
      <c r="B70" s="96" t="s">
        <v>17</v>
      </c>
      <c r="C70" s="91"/>
      <c r="D70" s="92"/>
      <c r="E70" s="61">
        <f>SUBTOTAL(9,E60:E69)</f>
        <v>3757.7343323546988</v>
      </c>
      <c r="F70" s="61">
        <f>E70/'[2] Ganado bovino (3)'!L48*100</f>
        <v>44.758794689301141</v>
      </c>
    </row>
    <row r="71" spans="2:6" ht="24" customHeight="1" x14ac:dyDescent="0.2">
      <c r="B71" s="25" t="s">
        <v>85</v>
      </c>
      <c r="C71" s="25"/>
      <c r="D71" s="1"/>
    </row>
    <row r="72" spans="2:6" ht="24" customHeight="1" x14ac:dyDescent="0.25">
      <c r="B72" s="25" t="s">
        <v>77</v>
      </c>
      <c r="C72" s="25"/>
      <c r="D72" s="1"/>
    </row>
    <row r="73" spans="2:6" ht="24" customHeight="1" x14ac:dyDescent="0.25">
      <c r="B73" s="25" t="s">
        <v>21</v>
      </c>
      <c r="C73" s="25"/>
      <c r="D73" s="1"/>
    </row>
    <row r="74" spans="2:6" ht="24" customHeight="1" x14ac:dyDescent="0.25"/>
    <row r="75" spans="2:6" ht="24" customHeight="1" x14ac:dyDescent="0.25"/>
    <row r="76" spans="2:6" ht="24" customHeight="1" x14ac:dyDescent="0.25"/>
    <row r="77" spans="2:6" ht="24" customHeight="1" x14ac:dyDescent="0.25"/>
    <row r="78" spans="2:6" ht="24" customHeight="1" x14ac:dyDescent="0.25"/>
    <row r="79" spans="2:6" ht="24" customHeight="1" x14ac:dyDescent="0.25"/>
    <row r="80" spans="2:6" ht="24" customHeight="1" x14ac:dyDescent="0.25"/>
    <row r="81" ht="24" customHeight="1" x14ac:dyDescent="0.25"/>
    <row r="82" ht="24" customHeight="1" x14ac:dyDescent="0.25"/>
    <row r="83" ht="24" customHeight="1" x14ac:dyDescent="0.25"/>
    <row r="84" ht="24" customHeight="1" x14ac:dyDescent="0.25"/>
    <row r="85" ht="24" customHeight="1" x14ac:dyDescent="0.25"/>
    <row r="86" ht="24" customHeight="1" x14ac:dyDescent="0.25"/>
    <row r="87" ht="24" customHeight="1" x14ac:dyDescent="0.25"/>
    <row r="88" ht="24" customHeight="1" x14ac:dyDescent="0.25"/>
    <row r="89" ht="24" customHeight="1" x14ac:dyDescent="0.25"/>
    <row r="90" ht="24" customHeight="1" x14ac:dyDescent="0.25"/>
    <row r="91" ht="24" customHeight="1" x14ac:dyDescent="0.25"/>
    <row r="92" ht="24" customHeight="1" x14ac:dyDescent="0.25"/>
    <row r="93" ht="24" customHeight="1" x14ac:dyDescent="0.25"/>
    <row r="94" ht="24" customHeight="1" x14ac:dyDescent="0.25"/>
    <row r="95" ht="24" customHeight="1" x14ac:dyDescent="0.25"/>
    <row r="96" ht="24" customHeight="1" x14ac:dyDescent="0.25"/>
    <row r="97" ht="24" customHeight="1" x14ac:dyDescent="0.25"/>
    <row r="98" ht="24" customHeight="1" x14ac:dyDescent="0.25"/>
    <row r="99" ht="24" customHeight="1" x14ac:dyDescent="0.25"/>
    <row r="100" ht="24" customHeight="1" x14ac:dyDescent="0.25"/>
    <row r="101" ht="24" customHeight="1" x14ac:dyDescent="0.25"/>
    <row r="102" ht="24" customHeight="1" x14ac:dyDescent="0.25"/>
    <row r="103" ht="24" customHeight="1" x14ac:dyDescent="0.25"/>
    <row r="104" ht="24" customHeight="1" x14ac:dyDescent="0.25"/>
    <row r="105" ht="24" customHeight="1" x14ac:dyDescent="0.25"/>
    <row r="106" ht="24" customHeight="1" x14ac:dyDescent="0.25"/>
    <row r="107" ht="24" customHeight="1" x14ac:dyDescent="0.25"/>
    <row r="108" ht="24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</sheetData>
  <autoFilter ref="B9:F55" xr:uid="{1DCBF5FD-C5E8-4887-A786-760119987F4B}"/>
  <mergeCells count="2">
    <mergeCell ref="B49:D49"/>
    <mergeCell ref="B70:D7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4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EA6D4-E2CC-4160-A3A0-15070BFA7A3F}">
  <sheetPr>
    <tabColor theme="3" tint="0.749992370372631"/>
  </sheetPr>
  <dimension ref="B2:DC111"/>
  <sheetViews>
    <sheetView tabSelected="1" topLeftCell="A52" workbookViewId="0">
      <selection activeCell="H58" sqref="H58"/>
    </sheetView>
  </sheetViews>
  <sheetFormatPr baseColWidth="10" defaultRowHeight="12.75" x14ac:dyDescent="0.2"/>
  <cols>
    <col min="1" max="1" width="2.85546875" style="101" customWidth="1"/>
    <col min="2" max="2" width="66" style="101" customWidth="1"/>
    <col min="3" max="16384" width="11.42578125" style="101"/>
  </cols>
  <sheetData>
    <row r="2" spans="2:107" ht="13.5" thickBot="1" x14ac:dyDescent="0.25">
      <c r="B2" s="97" t="s">
        <v>205</v>
      </c>
      <c r="C2" s="98" t="s">
        <v>99</v>
      </c>
      <c r="D2" s="98" t="s">
        <v>100</v>
      </c>
      <c r="E2" s="98" t="s">
        <v>101</v>
      </c>
      <c r="F2" s="98" t="s">
        <v>102</v>
      </c>
      <c r="G2" s="98" t="s">
        <v>103</v>
      </c>
      <c r="H2" s="98" t="s">
        <v>104</v>
      </c>
      <c r="I2" s="98" t="s">
        <v>105</v>
      </c>
      <c r="J2" s="98" t="s">
        <v>106</v>
      </c>
      <c r="K2" s="98" t="s">
        <v>107</v>
      </c>
      <c r="L2" s="98" t="s">
        <v>108</v>
      </c>
      <c r="M2" s="98" t="s">
        <v>109</v>
      </c>
      <c r="N2" s="98" t="s">
        <v>110</v>
      </c>
      <c r="O2" s="98" t="s">
        <v>111</v>
      </c>
      <c r="P2" s="98" t="s">
        <v>112</v>
      </c>
      <c r="Q2" s="98" t="s">
        <v>113</v>
      </c>
      <c r="R2" s="98" t="s">
        <v>114</v>
      </c>
      <c r="S2" s="98" t="s">
        <v>115</v>
      </c>
      <c r="T2" s="98" t="s">
        <v>116</v>
      </c>
      <c r="U2" s="98" t="s">
        <v>117</v>
      </c>
      <c r="V2" s="98" t="s">
        <v>118</v>
      </c>
      <c r="W2" s="98" t="s">
        <v>119</v>
      </c>
      <c r="X2" s="98" t="s">
        <v>120</v>
      </c>
      <c r="Y2" s="98" t="s">
        <v>121</v>
      </c>
      <c r="Z2" s="98" t="s">
        <v>122</v>
      </c>
      <c r="AA2" s="98" t="s">
        <v>123</v>
      </c>
      <c r="AB2" s="98" t="s">
        <v>124</v>
      </c>
      <c r="AC2" s="98" t="s">
        <v>125</v>
      </c>
      <c r="AD2" s="98" t="s">
        <v>126</v>
      </c>
      <c r="AE2" s="98" t="s">
        <v>127</v>
      </c>
      <c r="AF2" s="98" t="s">
        <v>128</v>
      </c>
      <c r="AG2" s="98" t="s">
        <v>129</v>
      </c>
      <c r="AH2" s="98" t="s">
        <v>130</v>
      </c>
      <c r="AI2" s="98" t="s">
        <v>131</v>
      </c>
      <c r="AJ2" s="98" t="s">
        <v>132</v>
      </c>
      <c r="AK2" s="98" t="s">
        <v>133</v>
      </c>
      <c r="AL2" s="98" t="s">
        <v>134</v>
      </c>
      <c r="AM2" s="98" t="s">
        <v>135</v>
      </c>
      <c r="AN2" s="98" t="s">
        <v>136</v>
      </c>
      <c r="AO2" s="98" t="s">
        <v>137</v>
      </c>
      <c r="AP2" s="98" t="s">
        <v>138</v>
      </c>
      <c r="AQ2" s="98" t="s">
        <v>139</v>
      </c>
      <c r="AR2" s="98" t="s">
        <v>140</v>
      </c>
      <c r="AS2" s="98" t="s">
        <v>141</v>
      </c>
      <c r="AT2" s="98" t="s">
        <v>142</v>
      </c>
      <c r="AU2" s="98" t="s">
        <v>143</v>
      </c>
      <c r="AV2" s="98" t="s">
        <v>144</v>
      </c>
      <c r="AW2" s="98" t="s">
        <v>145</v>
      </c>
      <c r="AX2" s="98" t="s">
        <v>146</v>
      </c>
      <c r="AY2" s="98" t="s">
        <v>147</v>
      </c>
      <c r="AZ2" s="98" t="s">
        <v>148</v>
      </c>
      <c r="BA2" s="98" t="s">
        <v>149</v>
      </c>
      <c r="BB2" s="98" t="s">
        <v>150</v>
      </c>
      <c r="BC2" s="98" t="s">
        <v>151</v>
      </c>
      <c r="BD2" s="98" t="s">
        <v>152</v>
      </c>
      <c r="BE2" s="98" t="s">
        <v>153</v>
      </c>
      <c r="BF2" s="98" t="s">
        <v>154</v>
      </c>
      <c r="BG2" s="98" t="s">
        <v>155</v>
      </c>
      <c r="BH2" s="98" t="s">
        <v>156</v>
      </c>
      <c r="BI2" s="98" t="s">
        <v>157</v>
      </c>
      <c r="BJ2" s="98" t="s">
        <v>158</v>
      </c>
      <c r="BK2" s="98" t="s">
        <v>159</v>
      </c>
      <c r="BL2" s="98" t="s">
        <v>160</v>
      </c>
      <c r="BM2" s="98" t="s">
        <v>161</v>
      </c>
      <c r="BN2" s="98" t="s">
        <v>162</v>
      </c>
      <c r="BO2" s="98" t="s">
        <v>163</v>
      </c>
      <c r="BP2" s="98" t="s">
        <v>164</v>
      </c>
      <c r="BQ2" s="98" t="s">
        <v>165</v>
      </c>
      <c r="BR2" s="98" t="s">
        <v>166</v>
      </c>
      <c r="BS2" s="98" t="s">
        <v>167</v>
      </c>
      <c r="BT2" s="98" t="s">
        <v>168</v>
      </c>
      <c r="BU2" s="98" t="s">
        <v>169</v>
      </c>
      <c r="BV2" s="98" t="s">
        <v>170</v>
      </c>
      <c r="BW2" s="98" t="s">
        <v>171</v>
      </c>
      <c r="BX2" s="98" t="s">
        <v>172</v>
      </c>
      <c r="BY2" s="98" t="s">
        <v>173</v>
      </c>
      <c r="BZ2" s="98" t="s">
        <v>174</v>
      </c>
      <c r="CA2" s="98" t="s">
        <v>175</v>
      </c>
      <c r="CB2" s="98" t="s">
        <v>176</v>
      </c>
      <c r="CC2" s="98" t="s">
        <v>177</v>
      </c>
      <c r="CD2" s="98" t="s">
        <v>178</v>
      </c>
      <c r="CE2" s="98" t="s">
        <v>179</v>
      </c>
      <c r="CF2" s="98" t="s">
        <v>180</v>
      </c>
      <c r="CG2" s="98" t="s">
        <v>181</v>
      </c>
      <c r="CH2" s="98" t="s">
        <v>182</v>
      </c>
      <c r="CI2" s="98" t="s">
        <v>183</v>
      </c>
      <c r="CJ2" s="98" t="s">
        <v>184</v>
      </c>
      <c r="CK2" s="98" t="s">
        <v>185</v>
      </c>
      <c r="CL2" s="98" t="s">
        <v>186</v>
      </c>
      <c r="CM2" s="98" t="s">
        <v>187</v>
      </c>
      <c r="CN2" s="98" t="s">
        <v>188</v>
      </c>
      <c r="CO2" s="98" t="s">
        <v>189</v>
      </c>
      <c r="CP2" s="98" t="s">
        <v>190</v>
      </c>
      <c r="CQ2" s="98" t="s">
        <v>191</v>
      </c>
      <c r="CR2" s="98" t="s">
        <v>192</v>
      </c>
      <c r="CS2" s="98" t="s">
        <v>193</v>
      </c>
      <c r="CT2" s="98" t="s">
        <v>194</v>
      </c>
      <c r="CU2" s="98" t="s">
        <v>195</v>
      </c>
      <c r="CV2" s="98" t="s">
        <v>196</v>
      </c>
      <c r="CW2" s="98" t="s">
        <v>197</v>
      </c>
      <c r="CX2" s="98" t="s">
        <v>198</v>
      </c>
      <c r="CY2" s="98" t="s">
        <v>199</v>
      </c>
      <c r="CZ2" s="98" t="s">
        <v>200</v>
      </c>
      <c r="DA2" s="98" t="s">
        <v>201</v>
      </c>
      <c r="DB2" s="98" t="s">
        <v>202</v>
      </c>
      <c r="DC2" s="98" t="s">
        <v>203</v>
      </c>
    </row>
    <row r="3" spans="2:107" x14ac:dyDescent="0.2">
      <c r="B3" s="100" t="s">
        <v>8</v>
      </c>
      <c r="C3" s="102">
        <v>51.487313772074138</v>
      </c>
      <c r="D3" s="102">
        <v>14.258996629277352</v>
      </c>
      <c r="E3" s="102">
        <v>78.064738208747428</v>
      </c>
      <c r="F3" s="102">
        <v>330.30203334761256</v>
      </c>
      <c r="G3" s="102">
        <v>253.32932248279675</v>
      </c>
      <c r="H3" s="102">
        <v>28.469492033169317</v>
      </c>
      <c r="I3" s="102">
        <v>30.086073297553526</v>
      </c>
      <c r="J3" s="102">
        <v>42.077998999238552</v>
      </c>
      <c r="K3" s="102">
        <v>25.583063114956307</v>
      </c>
      <c r="L3" s="102">
        <v>18.219161768463998</v>
      </c>
      <c r="M3" s="102">
        <v>15.214078756687933</v>
      </c>
      <c r="N3" s="102">
        <v>7.139738415229079</v>
      </c>
      <c r="O3" s="102">
        <v>10.489243910027225</v>
      </c>
      <c r="P3" s="102">
        <v>15.050831313907395</v>
      </c>
      <c r="Q3" s="102">
        <v>11.532085626431192</v>
      </c>
      <c r="R3" s="102">
        <v>0.54023307248402264</v>
      </c>
      <c r="S3" s="102">
        <v>3.1242417681390653</v>
      </c>
      <c r="T3" s="102">
        <v>0.60051401161657303</v>
      </c>
      <c r="U3" s="102">
        <v>0.80705184874792268</v>
      </c>
      <c r="V3" s="102">
        <v>22.984803257785089</v>
      </c>
      <c r="W3" s="102">
        <v>21.525146169560088</v>
      </c>
      <c r="X3" s="102">
        <v>6.4297390770146468</v>
      </c>
      <c r="Y3" s="102">
        <v>22.934851984398321</v>
      </c>
      <c r="Z3" s="102">
        <v>1.2476005251217825</v>
      </c>
      <c r="AA3" s="102">
        <v>28.989943128659519</v>
      </c>
      <c r="AB3" s="102">
        <v>21.286718464086938</v>
      </c>
      <c r="AC3" s="102">
        <v>11.440300918158442</v>
      </c>
      <c r="AD3" s="102">
        <v>3.3653636464708816</v>
      </c>
      <c r="AE3" s="102">
        <v>1.4713737512827658</v>
      </c>
      <c r="AF3" s="102">
        <v>86.148027857611652</v>
      </c>
      <c r="AG3" s="102">
        <v>23.72260701135378</v>
      </c>
      <c r="AH3" s="102">
        <v>17.974927330355115</v>
      </c>
      <c r="AI3" s="102">
        <v>70.550977715654128</v>
      </c>
      <c r="AJ3" s="102">
        <v>44.811410574160327</v>
      </c>
      <c r="AK3" s="102">
        <v>1.7380121923858538</v>
      </c>
      <c r="AL3" s="102">
        <v>13.702894484402806</v>
      </c>
      <c r="AM3" s="102">
        <v>116.01323652806262</v>
      </c>
      <c r="AN3" s="102">
        <v>31.771429104663227</v>
      </c>
      <c r="AO3" s="102">
        <v>29.839454824725784</v>
      </c>
      <c r="AP3" s="102">
        <v>12.044588865289796</v>
      </c>
      <c r="AQ3" s="102">
        <v>2.3724146642598178</v>
      </c>
      <c r="AR3" s="102">
        <v>23.080701565667674</v>
      </c>
      <c r="AS3" s="102">
        <v>7.022436569460492</v>
      </c>
      <c r="AT3" s="102">
        <v>2.102895624878609</v>
      </c>
      <c r="AU3" s="102">
        <v>23.792383744076762</v>
      </c>
      <c r="AV3" s="102">
        <v>13.12674044421987</v>
      </c>
      <c r="AW3" s="102">
        <v>8.7909011637355601</v>
      </c>
      <c r="AX3" s="102">
        <v>57.561704568111629</v>
      </c>
      <c r="AY3" s="102">
        <v>0.34862830812621215</v>
      </c>
      <c r="AZ3" s="102">
        <v>44.961783686173803</v>
      </c>
      <c r="BA3" s="102">
        <v>17.182033022040571</v>
      </c>
      <c r="BB3" s="102">
        <v>44.752118980677764</v>
      </c>
      <c r="BC3" s="102">
        <v>14.770711506420538</v>
      </c>
      <c r="BD3" s="102">
        <v>31.183848179012546</v>
      </c>
      <c r="BE3" s="102">
        <v>13.776234126883253</v>
      </c>
      <c r="BF3" s="102">
        <v>44.009844781275554</v>
      </c>
      <c r="BG3" s="102">
        <v>51.865408017431406</v>
      </c>
      <c r="BH3" s="102">
        <v>78.982257850131461</v>
      </c>
      <c r="BI3" s="102">
        <v>2.5334135192757046</v>
      </c>
      <c r="BJ3" s="102">
        <v>8.617415784036476</v>
      </c>
      <c r="BK3" s="102">
        <v>527.27633175187657</v>
      </c>
      <c r="BL3" s="102">
        <v>61.180539646199797</v>
      </c>
      <c r="BM3" s="102">
        <v>98.418696432099395</v>
      </c>
      <c r="BN3" s="102">
        <v>29.239459373187795</v>
      </c>
      <c r="BO3" s="102">
        <v>5.4853486454395908</v>
      </c>
      <c r="BP3" s="102">
        <v>47.989957611474388</v>
      </c>
      <c r="BQ3" s="102">
        <v>238.30695990381901</v>
      </c>
      <c r="BR3" s="102">
        <v>5.8085856381609826</v>
      </c>
      <c r="BS3" s="102">
        <v>15.157626568960737</v>
      </c>
      <c r="BT3" s="102">
        <v>8.056134876863446</v>
      </c>
      <c r="BU3" s="102">
        <v>39.466937326691657</v>
      </c>
      <c r="BV3" s="102">
        <v>0.73621870899999975</v>
      </c>
      <c r="BW3" s="102">
        <v>4.9067580357708422</v>
      </c>
      <c r="BX3" s="102">
        <v>0</v>
      </c>
      <c r="BY3" s="102">
        <v>147.46660764466952</v>
      </c>
      <c r="BZ3" s="102">
        <v>11.614918819579767</v>
      </c>
      <c r="CA3" s="102">
        <v>27.005648915152417</v>
      </c>
      <c r="CB3" s="102">
        <v>5.5544895690036622</v>
      </c>
      <c r="CC3" s="102">
        <v>32.890457090159622</v>
      </c>
      <c r="CD3" s="102">
        <v>6.542182244023472</v>
      </c>
      <c r="CE3" s="102">
        <v>14.487084827812076</v>
      </c>
      <c r="CF3" s="102">
        <v>9.1409565201840053</v>
      </c>
      <c r="CG3" s="102">
        <v>1.6700165764621129</v>
      </c>
      <c r="CH3" s="102">
        <v>8.7806024158116696</v>
      </c>
      <c r="CI3" s="102">
        <v>34.952064990400402</v>
      </c>
      <c r="CJ3" s="102">
        <v>27.855656450452074</v>
      </c>
      <c r="CK3" s="102">
        <v>36.061875519339978</v>
      </c>
      <c r="CL3" s="102">
        <v>23.124195382014861</v>
      </c>
      <c r="CM3" s="102">
        <v>50.590642687608096</v>
      </c>
      <c r="CN3" s="102">
        <v>39.172823742825933</v>
      </c>
      <c r="CO3" s="102">
        <v>20.919708966646287</v>
      </c>
      <c r="CP3" s="102">
        <v>39.420464686099919</v>
      </c>
      <c r="CQ3" s="102">
        <v>30.364091034919692</v>
      </c>
      <c r="CR3" s="102">
        <v>0.13183490785622115</v>
      </c>
      <c r="CS3" s="102">
        <v>0</v>
      </c>
      <c r="CT3" s="102">
        <v>0</v>
      </c>
      <c r="CU3" s="102">
        <v>0.15571466783404592</v>
      </c>
      <c r="CV3" s="102">
        <v>330.66804237029629</v>
      </c>
      <c r="CW3" s="102">
        <v>9.2675188997307476</v>
      </c>
      <c r="CX3" s="102">
        <v>25.978851742207411</v>
      </c>
      <c r="CY3" s="102">
        <v>41.160409674773042</v>
      </c>
      <c r="CZ3" s="102">
        <v>7.4315195384072643</v>
      </c>
      <c r="DA3" s="102">
        <v>5.3150560574304055</v>
      </c>
      <c r="DB3" s="102">
        <v>1.1011281866268807</v>
      </c>
      <c r="DC3" s="102">
        <v>6.9391994166778037</v>
      </c>
    </row>
    <row r="5" spans="2:107" s="104" customFormat="1" ht="39.75" customHeight="1" thickBot="1" x14ac:dyDescent="0.25">
      <c r="B5" s="99" t="s">
        <v>204</v>
      </c>
      <c r="C5" s="103" t="s">
        <v>8</v>
      </c>
    </row>
    <row r="6" spans="2:107" s="104" customFormat="1" ht="39.75" customHeight="1" thickBot="1" x14ac:dyDescent="0.25">
      <c r="B6" s="105" t="str">
        <f>[2]Catálogo!C68</f>
        <v>Comercio al por mayor y al por menor</v>
      </c>
      <c r="C6" s="102">
        <v>527.27633175187657</v>
      </c>
    </row>
    <row r="7" spans="2:107" s="104" customFormat="1" ht="39.75" customHeight="1" thickBot="1" x14ac:dyDescent="0.25">
      <c r="B7" s="105" t="str">
        <f>[2]Catálogo!C107</f>
        <v>Administración pública y defensa, excepto planes de seguridad social de afiliación obligatoria (no de mercado)</v>
      </c>
      <c r="C7" s="102">
        <v>330.66804237029629</v>
      </c>
    </row>
    <row r="8" spans="2:107" s="104" customFormat="1" ht="39.75" customHeight="1" thickBot="1" x14ac:dyDescent="0.25">
      <c r="B8" s="105" t="str">
        <f>[2]Catálogo!C11</f>
        <v>Cultivo de caña de azúcar</v>
      </c>
      <c r="C8" s="102">
        <v>330.30203334761256</v>
      </c>
    </row>
    <row r="9" spans="2:107" s="104" customFormat="1" ht="39.75" customHeight="1" thickBot="1" x14ac:dyDescent="0.25">
      <c r="B9" s="105" t="str">
        <f>[2]Catálogo!C12</f>
        <v>Cultivo de banano y plátano</v>
      </c>
      <c r="C9" s="102">
        <v>253.32932248279675</v>
      </c>
    </row>
    <row r="10" spans="2:107" s="104" customFormat="1" ht="39.75" customHeight="1" thickBot="1" x14ac:dyDescent="0.25">
      <c r="B10" s="105" t="str">
        <f>[2]Catálogo!C74</f>
        <v>Actividades de servicio de comidas y bebidas</v>
      </c>
      <c r="C10" s="102">
        <v>238.30695990381901</v>
      </c>
    </row>
    <row r="11" spans="2:107" s="104" customFormat="1" ht="39.75" customHeight="1" thickBot="1" x14ac:dyDescent="0.25">
      <c r="B11" s="105" t="str">
        <f>[2]Catálogo!C82</f>
        <v>Alquileres no residenciales y otras actividades inmobiliarias</v>
      </c>
      <c r="C11" s="102">
        <v>147.46660764466952</v>
      </c>
    </row>
    <row r="12" spans="2:107" s="104" customFormat="1" ht="39.75" customHeight="1" thickBot="1" x14ac:dyDescent="0.25">
      <c r="B12" s="105" t="str">
        <f>[2]Catálogo!C44</f>
        <v>Elaboración de bebidas no alcohólicas, producción de aguas minerales y de otras aguas embotelladas</v>
      </c>
      <c r="C12" s="102">
        <v>116.01323652806262</v>
      </c>
    </row>
    <row r="13" spans="2:107" s="104" customFormat="1" ht="39.75" customHeight="1" thickBot="1" x14ac:dyDescent="0.25">
      <c r="B13" s="105" t="str">
        <f>[2]Catálogo!C70</f>
        <v>Servicios de transporte</v>
      </c>
      <c r="C13" s="102">
        <v>98.418696432099395</v>
      </c>
    </row>
    <row r="14" spans="2:107" s="104" customFormat="1" ht="39.75" customHeight="1" thickBot="1" x14ac:dyDescent="0.25">
      <c r="B14" s="105" t="str">
        <f>[2]Catálogo!C37</f>
        <v>Elaboración de almidones y de otros productos de molinería n.c.p.</v>
      </c>
      <c r="C14" s="102">
        <v>86.148027857611652</v>
      </c>
    </row>
    <row r="15" spans="2:107" s="104" customFormat="1" ht="39.75" customHeight="1" thickBot="1" x14ac:dyDescent="0.25">
      <c r="B15" s="105" t="str">
        <f>[2]Catálogo!C65</f>
        <v>Construcción de edificios (de mercado)</v>
      </c>
      <c r="C15" s="102">
        <v>78.982257850131461</v>
      </c>
    </row>
    <row r="16" spans="2:107" s="104" customFormat="1" ht="39.75" customHeight="1" thickBot="1" x14ac:dyDescent="0.25">
      <c r="B16" s="105" t="str">
        <f>[2]Catálogo!C10</f>
        <v>Cultivo de hortalizas, melones, raíces y tubérculos</v>
      </c>
      <c r="C16" s="102">
        <v>78.064738208747428</v>
      </c>
    </row>
    <row r="17" spans="2:3" s="104" customFormat="1" ht="39.75" customHeight="1" thickBot="1" x14ac:dyDescent="0.25">
      <c r="B17" s="105" t="str">
        <f>[2]Catálogo!C40</f>
        <v>Elaboración de azúcar</v>
      </c>
      <c r="C17" s="102">
        <v>70.550977715654128</v>
      </c>
    </row>
    <row r="18" spans="2:3" s="104" customFormat="1" ht="39.75" customHeight="1" thickBot="1" x14ac:dyDescent="0.25">
      <c r="B18" s="105" t="str">
        <f>[2]Catálogo!C69</f>
        <v>Mantenimiento y reparación de vehículos automotores y motocicletas</v>
      </c>
      <c r="C18" s="102">
        <v>61.180539646199797</v>
      </c>
    </row>
    <row r="19" spans="2:3" s="104" customFormat="1" ht="39.75" customHeight="1" thickBot="1" x14ac:dyDescent="0.25">
      <c r="B19" s="105" t="str">
        <f>[2]Catálogo!C55</f>
        <v>Fabricación de plásticos en forma primaria y productos de caucho y plástico</v>
      </c>
      <c r="C19" s="102">
        <v>57.561704568111629</v>
      </c>
    </row>
    <row r="20" spans="2:3" s="104" customFormat="1" ht="39.75" customHeight="1" thickBot="1" x14ac:dyDescent="0.25">
      <c r="B20" s="105" t="str">
        <f>[2]Catálogo!C64</f>
        <v>Suministro de agua, evacuación de aguas residuales, gestión de desechos y descontaminación</v>
      </c>
      <c r="C20" s="102">
        <v>51.865408017431406</v>
      </c>
    </row>
    <row r="21" spans="2:3" s="104" customFormat="1" ht="39.75" customHeight="1" thickBot="1" x14ac:dyDescent="0.25">
      <c r="B21" s="105" t="str">
        <f>[2]Catálogo!C8</f>
        <v>Cultivo de cereales</v>
      </c>
      <c r="C21" s="102">
        <v>51.487313772074138</v>
      </c>
    </row>
    <row r="22" spans="2:3" s="104" customFormat="1" ht="39.75" customHeight="1" thickBot="1" x14ac:dyDescent="0.25">
      <c r="B22" s="105" t="str">
        <f>[2]Catálogo!C96</f>
        <v>Actividades de médicos y odontólogos (de mercado)</v>
      </c>
      <c r="C22" s="102">
        <v>50.590642687608096</v>
      </c>
    </row>
    <row r="23" spans="2:3" s="104" customFormat="1" ht="39.75" customHeight="1" thickBot="1" x14ac:dyDescent="0.25">
      <c r="B23" s="105" t="str">
        <f>[2]Catálogo!C73</f>
        <v>Actividades de alojamiento</v>
      </c>
      <c r="C23" s="102">
        <v>47.989957611474388</v>
      </c>
    </row>
    <row r="24" spans="2:3" s="104" customFormat="1" ht="39.75" customHeight="1" thickBot="1" x14ac:dyDescent="0.25">
      <c r="B24" s="105" t="str">
        <f>[2]Catálogo!C57</f>
        <v>Fabricación de cemento, cal y yeso; y fabricación de artículos de hormigón, cemento y yeso</v>
      </c>
      <c r="C24" s="102">
        <v>44.961783686173803</v>
      </c>
    </row>
    <row r="25" spans="2:3" s="104" customFormat="1" ht="39.75" customHeight="1" thickBot="1" x14ac:dyDescent="0.25">
      <c r="B25" s="105" t="str">
        <f>[2]Catálogo!C41</f>
        <v>Elaboración de otros productos alimenticios n.c.p</v>
      </c>
      <c r="C25" s="102">
        <v>44.811410574160327</v>
      </c>
    </row>
    <row r="26" spans="2:3" s="104" customFormat="1" ht="39.75" customHeight="1" thickBot="1" x14ac:dyDescent="0.25">
      <c r="B26" s="105" t="str">
        <f>[2]Catálogo!C59</f>
        <v>Fabricación de metales comunes y de productos elaborados de metal, excepto maquinaria y equipo</v>
      </c>
      <c r="C26" s="102">
        <v>44.752118980677764</v>
      </c>
    </row>
    <row r="27" spans="2:3" s="104" customFormat="1" ht="39.75" customHeight="1" thickBot="1" x14ac:dyDescent="0.25">
      <c r="B27" s="105" t="str">
        <f>[2]Catálogo!C63</f>
        <v>Suministro de electricidad, gas, vapor y aire acondicionado</v>
      </c>
      <c r="C27" s="102">
        <v>44.009844781275554</v>
      </c>
    </row>
    <row r="28" spans="2:3" s="104" customFormat="1" ht="39.75" customHeight="1" thickBot="1" x14ac:dyDescent="0.25">
      <c r="B28" s="105" t="str">
        <f>[2]Catálogo!C15</f>
        <v>Cultivo de café</v>
      </c>
      <c r="C28" s="102">
        <v>42.077998999238552</v>
      </c>
    </row>
    <row r="29" spans="2:3" s="104" customFormat="1" ht="39.75" customHeight="1" thickBot="1" x14ac:dyDescent="0.25">
      <c r="B29" s="105" t="str">
        <f>[2]Catálogo!C110</f>
        <v>Actividades de hospitales (no de mercado)</v>
      </c>
      <c r="C29" s="102">
        <v>41.160409674773042</v>
      </c>
    </row>
    <row r="30" spans="2:3" s="104" customFormat="1" ht="39.75" customHeight="1" thickBot="1" x14ac:dyDescent="0.25">
      <c r="B30" s="105" t="str">
        <f>[2]Catálogo!C78</f>
        <v>Actividades de servicios financieros, excepto las de seguros y fondos de pensiones</v>
      </c>
      <c r="C30" s="102">
        <v>39.466937326691657</v>
      </c>
    </row>
    <row r="31" spans="2:3" s="104" customFormat="1" ht="39.75" customHeight="1" thickBot="1" x14ac:dyDescent="0.25">
      <c r="B31" s="105" t="str">
        <f>[2]Catálogo!C99</f>
        <v>Otras actividades de servicios</v>
      </c>
      <c r="C31" s="102">
        <v>39.420464686099919</v>
      </c>
    </row>
    <row r="32" spans="2:3" s="104" customFormat="1" ht="39.75" customHeight="1" thickBot="1" x14ac:dyDescent="0.25">
      <c r="B32" s="105" t="str">
        <f>[2]Catálogo!C97</f>
        <v>Otras actividades de atención de la salud humana (de mercado)</v>
      </c>
      <c r="C32" s="102">
        <v>39.172823742825933</v>
      </c>
    </row>
    <row r="33" spans="2:3" s="104" customFormat="1" ht="39.75" customHeight="1" thickBot="1" x14ac:dyDescent="0.25">
      <c r="B33" s="105" t="str">
        <f>[2]Catálogo!C94</f>
        <v>Enseñanza (de mercado)</v>
      </c>
      <c r="C33" s="102">
        <v>36.061875519339978</v>
      </c>
    </row>
    <row r="34" spans="2:3" s="104" customFormat="1" ht="39.75" customHeight="1" thickBot="1" x14ac:dyDescent="0.25">
      <c r="B34" s="105" t="str">
        <f>[2]Catálogo!C92</f>
        <v>Actividades de centros de llamadas</v>
      </c>
      <c r="C34" s="102">
        <v>34.952064990400402</v>
      </c>
    </row>
    <row r="35" spans="2:3" s="104" customFormat="1" ht="39.75" customHeight="1" thickBot="1" x14ac:dyDescent="0.25">
      <c r="B35" s="105" t="str">
        <f>[2]Catálogo!C86</f>
        <v>Publicidad y estudios de mercado</v>
      </c>
      <c r="C35" s="102">
        <v>32.890457090159622</v>
      </c>
    </row>
    <row r="36" spans="2:3" s="104" customFormat="1" ht="39.75" customHeight="1" thickBot="1" x14ac:dyDescent="0.25">
      <c r="B36" s="105" t="str">
        <f>[2]Catálogo!C45</f>
        <v>Hilatura, tejedura y fabricación de productos textiles, excepto prendas de vestir</v>
      </c>
      <c r="C36" s="102">
        <v>31.771429104663227</v>
      </c>
    </row>
    <row r="37" spans="2:3" s="104" customFormat="1" ht="39.75" customHeight="1" thickBot="1" x14ac:dyDescent="0.25">
      <c r="B37" s="105" t="str">
        <f>[2]Catálogo!C61</f>
        <v>Fabricación de muebles</v>
      </c>
      <c r="C37" s="102">
        <v>31.183848179012546</v>
      </c>
    </row>
    <row r="38" spans="2:3" s="104" customFormat="1" ht="39.75" customHeight="1" thickBot="1" x14ac:dyDescent="0.25">
      <c r="B38" s="105" t="str">
        <f>[2]Catálogo!C101</f>
        <v>Construcción de edificios (para uso final propio)</v>
      </c>
      <c r="C38" s="102">
        <v>30.364091034919692</v>
      </c>
    </row>
    <row r="39" spans="2:3" s="104" customFormat="1" ht="39.75" customHeight="1" thickBot="1" x14ac:dyDescent="0.25">
      <c r="B39" s="105" t="str">
        <f>[2]Catálogo!C14</f>
        <v>Cultivo de palma</v>
      </c>
      <c r="C39" s="102">
        <v>30.086073297553526</v>
      </c>
    </row>
    <row r="40" spans="2:3" s="104" customFormat="1" ht="39.75" customHeight="1" thickBot="1" x14ac:dyDescent="0.25">
      <c r="B40" s="105" t="str">
        <f>[2]Catálogo!C46</f>
        <v>Fabricación de prendas de vestir</v>
      </c>
      <c r="C40" s="102">
        <v>29.839454824725784</v>
      </c>
    </row>
    <row r="41" spans="2:3" s="104" customFormat="1" ht="39.75" customHeight="1" thickBot="1" x14ac:dyDescent="0.25">
      <c r="B41" s="105" t="str">
        <f>[2]Catálogo!C71</f>
        <v>Almacenamiento y actividades de apoyo al transporte</v>
      </c>
      <c r="C41" s="102">
        <v>29.239459373187795</v>
      </c>
    </row>
    <row r="42" spans="2:3" s="104" customFormat="1" ht="39.75" customHeight="1" thickBot="1" x14ac:dyDescent="0.25">
      <c r="B42" s="105" t="str">
        <f>[2]Catálogo!C32</f>
        <v>Elaboración y conservación de frutas, legumbres y hortalizas</v>
      </c>
      <c r="C42" s="102">
        <v>28.989943128659519</v>
      </c>
    </row>
    <row r="43" spans="2:3" s="104" customFormat="1" ht="39.75" customHeight="1" thickBot="1" x14ac:dyDescent="0.25">
      <c r="B43" s="105" t="str">
        <f>[2]Catálogo!C13</f>
        <v>Cultivo de otras frutas y nueces</v>
      </c>
      <c r="C43" s="102">
        <v>28.469492033169317</v>
      </c>
    </row>
    <row r="44" spans="2:3" s="104" customFormat="1" ht="39.75" customHeight="1" thickBot="1" x14ac:dyDescent="0.25">
      <c r="B44" s="105" t="str">
        <f>[2]Catálogo!C93</f>
        <v>Otras actividades de servicios administrativos y de apoyo de oficina</v>
      </c>
      <c r="C44" s="102">
        <v>27.855656450452074</v>
      </c>
    </row>
    <row r="45" spans="2:3" s="104" customFormat="1" ht="39.75" customHeight="1" thickBot="1" x14ac:dyDescent="0.25">
      <c r="B45" s="105" t="str">
        <f>[2]Catálogo!C84</f>
        <v>Actividades de oficinas principales y actividades de consultoría de gestión</v>
      </c>
      <c r="C45" s="102">
        <v>27.005648915152417</v>
      </c>
    </row>
    <row r="46" spans="2:3" s="104" customFormat="1" ht="39.75" customHeight="1" thickBot="1" x14ac:dyDescent="0.25">
      <c r="B46" s="105" t="str">
        <f>[2]Catálogo!C109</f>
        <v>Enseñanza (no de mercado)</v>
      </c>
      <c r="C46" s="102">
        <v>25.978851742207411</v>
      </c>
    </row>
    <row r="47" spans="2:3" s="104" customFormat="1" ht="39.75" customHeight="1" thickBot="1" x14ac:dyDescent="0.25">
      <c r="B47" s="105" t="str">
        <f>[2]Catálogo!C16</f>
        <v>Cultivo de cardamomo</v>
      </c>
      <c r="C47" s="102">
        <v>25.583063114956307</v>
      </c>
    </row>
    <row r="48" spans="2:3" s="104" customFormat="1" ht="39.75" customHeight="1" thickBot="1" x14ac:dyDescent="0.25">
      <c r="B48" s="105" t="str">
        <f>[2]Catálogo!C52</f>
        <v>Fabricación de jabones y detergentes, preparados para limpiar y pulir, perfumes y preparados de tocador</v>
      </c>
      <c r="C48" s="102">
        <v>23.792383744076762</v>
      </c>
    </row>
    <row r="49" spans="2:3" s="104" customFormat="1" ht="39.75" customHeight="1" thickBot="1" x14ac:dyDescent="0.25">
      <c r="B49" s="105" t="str">
        <f>[2]Catálogo!C38</f>
        <v>Elaboración de productos de panadería</v>
      </c>
      <c r="C49" s="102">
        <v>23.72260701135378</v>
      </c>
    </row>
    <row r="50" spans="2:3" s="104" customFormat="1" ht="39.75" customHeight="1" thickBot="1" x14ac:dyDescent="0.25">
      <c r="B50" s="105" t="str">
        <f>[2]Catálogo!C95</f>
        <v>Actividades de hospitales (de mercado)</v>
      </c>
      <c r="C50" s="102">
        <v>23.124195382014861</v>
      </c>
    </row>
    <row r="51" spans="2:3" s="104" customFormat="1" ht="39.75" customHeight="1" thickBot="1" x14ac:dyDescent="0.25">
      <c r="B51" s="105" t="str">
        <f>[2]Catálogo!C49</f>
        <v>Fabricación de papel y productos de papel</v>
      </c>
      <c r="C51" s="102">
        <v>23.080701565667674</v>
      </c>
    </row>
    <row r="52" spans="2:3" s="104" customFormat="1" ht="39.75" customHeight="1" thickBot="1" x14ac:dyDescent="0.25">
      <c r="B52" s="105" t="str">
        <f>[2]Catálogo!C27</f>
        <v>Extracción de minerales no metálicos y actividades de apoyo para la explotación de minas y canteras</v>
      </c>
      <c r="C52" s="102">
        <v>22.984803257785089</v>
      </c>
    </row>
    <row r="53" spans="2:3" s="104" customFormat="1" ht="39.75" customHeight="1" thickBot="1" x14ac:dyDescent="0.25">
      <c r="B53" s="105" t="str">
        <f>[2]Catálogo!C30</f>
        <v>Elaboración y conservación de carne de aves de corral</v>
      </c>
      <c r="C53" s="102">
        <v>22.934851984398321</v>
      </c>
    </row>
    <row r="54" spans="2:3" s="104" customFormat="1" ht="39.75" customHeight="1" thickBot="1" x14ac:dyDescent="0.25">
      <c r="B54" s="105" t="str">
        <f>[2]Catálogo!C28</f>
        <v>Elaboración y conservación de carne de ganado bovino</v>
      </c>
      <c r="C54" s="102">
        <v>21.525146169560088</v>
      </c>
    </row>
    <row r="55" spans="2:3" s="104" customFormat="1" ht="39.75" customHeight="1" thickBot="1" x14ac:dyDescent="0.25">
      <c r="B55" s="105" t="str">
        <f>[2]Catálogo!C33</f>
        <v>Elaboración de aceites y grasas de origen vegetal y animal</v>
      </c>
      <c r="C55" s="102">
        <v>21.286718464086938</v>
      </c>
    </row>
    <row r="56" spans="2:3" s="104" customFormat="1" ht="39.75" customHeight="1" thickBot="1" x14ac:dyDescent="0.25">
      <c r="B56" s="105" t="str">
        <f>[2]Catálogo!C98</f>
        <v>Actividades artísticas, de entretenimiento y recreativas (de mercado)</v>
      </c>
      <c r="C56" s="102">
        <v>20.919708966646287</v>
      </c>
    </row>
    <row r="57" spans="2:3" s="104" customFormat="1" ht="39.75" customHeight="1" thickBot="1" x14ac:dyDescent="0.25">
      <c r="B57" s="105" t="str">
        <f>[2]Catálogo!C17</f>
        <v>Cultivo de caucho natural</v>
      </c>
      <c r="C57" s="102">
        <v>18.219161768463998</v>
      </c>
    </row>
    <row r="58" spans="2:3" s="104" customFormat="1" ht="39.75" customHeight="1" thickBot="1" x14ac:dyDescent="0.25">
      <c r="B58" s="105" t="str">
        <f>[2]Catálogo!C39</f>
        <v>Elaboración de tortillas de maíz</v>
      </c>
      <c r="C58" s="102">
        <v>17.974927330355115</v>
      </c>
    </row>
    <row r="59" spans="2:3" s="104" customFormat="1" ht="39.75" customHeight="1" thickBot="1" x14ac:dyDescent="0.25">
      <c r="B59" s="105" t="str">
        <f>[2]Catálogo!C58</f>
        <v>Fabricación de otros productos minerales no metálicos</v>
      </c>
      <c r="C59" s="102">
        <v>17.182033022040571</v>
      </c>
    </row>
    <row r="60" spans="2:3" s="104" customFormat="1" ht="39.75" customHeight="1" thickBot="1" x14ac:dyDescent="0.25">
      <c r="B60" s="105" t="str">
        <f>[2]Catálogo!C18</f>
        <v>Otros cultivos</v>
      </c>
      <c r="C60" s="102">
        <v>15.214078756687933</v>
      </c>
    </row>
    <row r="61" spans="2:3" s="104" customFormat="1" ht="39.75" customHeight="1" thickBot="1" x14ac:dyDescent="0.25">
      <c r="B61" s="105" t="str">
        <f>[2]Catálogo!C76</f>
        <v>Telecomunicaciones</v>
      </c>
      <c r="C61" s="102">
        <v>15.157626568960737</v>
      </c>
    </row>
    <row r="62" spans="2:3" s="104" customFormat="1" ht="39.75" customHeight="1" thickBot="1" x14ac:dyDescent="0.25">
      <c r="B62" s="105" t="str">
        <f>[2]Catálogo!C21</f>
        <v>Cría de ganado porcino, de otros animales y obtención de productos de otros animales vivos</v>
      </c>
      <c r="C62" s="102">
        <v>15.050831313907395</v>
      </c>
    </row>
    <row r="63" spans="2:3" s="104" customFormat="1" ht="39.75" customHeight="1" thickBot="1" x14ac:dyDescent="0.25">
      <c r="B63" s="105" t="str">
        <f>[2]Catálogo!C60</f>
        <v>Fabricación, reparación e instalación de maquinaria y equipo industrial, n.c.p.</v>
      </c>
      <c r="C63" s="102">
        <v>14.770711506420538</v>
      </c>
    </row>
    <row r="64" spans="2:3" s="104" customFormat="1" ht="39.75" customHeight="1" thickBot="1" x14ac:dyDescent="0.25">
      <c r="B64" s="105" t="str">
        <f>[2]Catálogo!C88</f>
        <v>Actividades de alquiler y arrendamiento</v>
      </c>
      <c r="C64" s="102">
        <v>14.487084827812076</v>
      </c>
    </row>
    <row r="65" spans="2:3" s="104" customFormat="1" ht="39.75" customHeight="1" thickBot="1" x14ac:dyDescent="0.25">
      <c r="B65" s="105" t="str">
        <f>[2]Catálogo!C9</f>
        <v>Cultivo de leguminosas (legumbres secas) y semillas oleaginosas</v>
      </c>
      <c r="C65" s="102">
        <v>14.258996629277352</v>
      </c>
    </row>
    <row r="66" spans="2:3" s="104" customFormat="1" ht="39.75" customHeight="1" thickBot="1" x14ac:dyDescent="0.25">
      <c r="B66" s="105" t="str">
        <f>[2]Catálogo!C62</f>
        <v>Otras industrias manufactureras</v>
      </c>
      <c r="C66" s="102">
        <v>13.776234126883253</v>
      </c>
    </row>
    <row r="67" spans="2:3" s="104" customFormat="1" ht="39.75" customHeight="1" thickBot="1" x14ac:dyDescent="0.25">
      <c r="B67" s="105" t="str">
        <f>[2]Catálogo!C43</f>
        <v>Elaboración de bebidas alcohólicas y productos de tabaco</v>
      </c>
      <c r="C67" s="102">
        <v>13.702894484402806</v>
      </c>
    </row>
    <row r="68" spans="2:3" s="104" customFormat="1" ht="39.75" customHeight="1" thickBot="1" x14ac:dyDescent="0.25">
      <c r="B68" s="105" t="str">
        <f>[2]Catálogo!C53</f>
        <v>Fabricación de productos farmacéuticos, sustancias químicas medicinales y productos botánicos de uso farmacéutico</v>
      </c>
      <c r="C68" s="102">
        <v>13.12674044421987</v>
      </c>
    </row>
    <row r="69" spans="2:3" s="104" customFormat="1" ht="39.75" customHeight="1" thickBot="1" x14ac:dyDescent="0.25">
      <c r="B69" s="105" t="str">
        <f>[2]Catálogo!C47</f>
        <v>Fabricación de calzado, productos de cuero y actividades conexas</v>
      </c>
      <c r="C69" s="102">
        <v>12.044588865289796</v>
      </c>
    </row>
    <row r="70" spans="2:3" s="104" customFormat="1" ht="39.75" customHeight="1" thickBot="1" x14ac:dyDescent="0.25">
      <c r="B70" s="105" t="str">
        <f>[2]Catálogo!C83</f>
        <v>Actividades jurídicas y de contabilidad</v>
      </c>
      <c r="C70" s="102">
        <v>11.614918819579767</v>
      </c>
    </row>
    <row r="71" spans="2:3" s="104" customFormat="1" ht="39.75" customHeight="1" thickBot="1" x14ac:dyDescent="0.25">
      <c r="B71" s="105" t="str">
        <f>[2]Catálogo!C22</f>
        <v>Actividades de apoyo a la agricultura y ganadería; y propagación de plantas</v>
      </c>
      <c r="C71" s="102">
        <v>11.532085626431192</v>
      </c>
    </row>
    <row r="72" spans="2:3" s="104" customFormat="1" ht="39.75" customHeight="1" thickBot="1" x14ac:dyDescent="0.25">
      <c r="B72" s="105" t="str">
        <f>[2]Catálogo!C34</f>
        <v>Elaboración de productos lácteos</v>
      </c>
      <c r="C72" s="102">
        <v>11.440300918158442</v>
      </c>
    </row>
    <row r="73" spans="2:3" s="104" customFormat="1" ht="39.75" customHeight="1" thickBot="1" x14ac:dyDescent="0.25">
      <c r="B73" s="105" t="str">
        <f>[2]Catálogo!C20</f>
        <v>Cría de aves de corral</v>
      </c>
      <c r="C73" s="102">
        <v>10.489243910027225</v>
      </c>
    </row>
    <row r="74" spans="2:3" s="104" customFormat="1" ht="39.75" customHeight="1" thickBot="1" x14ac:dyDescent="0.25">
      <c r="B74" s="105" t="str">
        <f>[2]Catálogo!C108</f>
        <v>Actividades de planes de seguridad social de afiliación obligatoria (no de mercado)</v>
      </c>
      <c r="C74" s="102">
        <v>9.2675188997307476</v>
      </c>
    </row>
    <row r="75" spans="2:3" s="104" customFormat="1" ht="39.75" customHeight="1" thickBot="1" x14ac:dyDescent="0.25">
      <c r="B75" s="105" t="str">
        <f>[2]Catálogo!C89</f>
        <v>Actividades de empleo</v>
      </c>
      <c r="C75" s="102">
        <v>9.1409565201840053</v>
      </c>
    </row>
    <row r="76" spans="2:3" s="104" customFormat="1" ht="39.75" customHeight="1" thickBot="1" x14ac:dyDescent="0.25">
      <c r="B76" s="105" t="str">
        <f>[2]Catálogo!C54</f>
        <v>Fabricación de otros productos químicos, coque y productos de la refinación del petróleo</v>
      </c>
      <c r="C76" s="102">
        <v>8.7909011637355601</v>
      </c>
    </row>
    <row r="77" spans="2:3" s="104" customFormat="1" ht="39.75" customHeight="1" thickBot="1" x14ac:dyDescent="0.25">
      <c r="B77" s="105" t="str">
        <f>[2]Catálogo!C91</f>
        <v>Actividades de seguridad, investigación privada y de detectives</v>
      </c>
      <c r="C77" s="102">
        <v>8.7806024158116696</v>
      </c>
    </row>
    <row r="78" spans="2:3" s="104" customFormat="1" ht="39.75" customHeight="1" thickBot="1" x14ac:dyDescent="0.25">
      <c r="B78" s="105" t="str">
        <f>[2]Catálogo!C67</f>
        <v>Actividades especializadas de construcción</v>
      </c>
      <c r="C78" s="102">
        <v>8.617415784036476</v>
      </c>
    </row>
    <row r="79" spans="2:3" s="104" customFormat="1" ht="39.75" customHeight="1" thickBot="1" x14ac:dyDescent="0.25">
      <c r="B79" s="105" t="str">
        <f>[2]Catálogo!C77</f>
        <v>Programación informática, consultoría de informática y actividades conexas; actividades de servicios de información; y edición de programas informáticos</v>
      </c>
      <c r="C79" s="102">
        <v>8.056134876863446</v>
      </c>
    </row>
    <row r="80" spans="2:3" s="104" customFormat="1" ht="39.75" customHeight="1" thickBot="1" x14ac:dyDescent="0.25">
      <c r="B80" s="105" t="str">
        <f>[2]Catálogo!C111</f>
        <v>Actividades de médicos y odontólogos (no de mercado)</v>
      </c>
      <c r="C80" s="102">
        <v>7.4315195384072643</v>
      </c>
    </row>
    <row r="81" spans="2:3" s="104" customFormat="1" ht="39.75" customHeight="1" thickBot="1" x14ac:dyDescent="0.25">
      <c r="B81" s="105" t="str">
        <f>[2]Catálogo!C19</f>
        <v>Cría de ganado bovino, excepto búfalos</v>
      </c>
      <c r="C81" s="102">
        <v>7.139738415229079</v>
      </c>
    </row>
    <row r="82" spans="2:3" s="104" customFormat="1" ht="39.75" customHeight="1" thickBot="1" x14ac:dyDescent="0.25">
      <c r="B82" s="105" t="str">
        <f>[2]Catálogo!C50</f>
        <v>Impresión y reproducción de grabaciones</v>
      </c>
      <c r="C82" s="102">
        <v>7.022436569460492</v>
      </c>
    </row>
    <row r="83" spans="2:3" s="104" customFormat="1" ht="39.75" customHeight="1" thickBot="1" x14ac:dyDescent="0.25">
      <c r="B83" s="105" t="str">
        <f>[2]Catálogo!C114</f>
        <v>Actividades de asociaciones que sirven a los hogares (no de mercado)</v>
      </c>
      <c r="C83" s="102">
        <v>6.9391994166778037</v>
      </c>
    </row>
    <row r="84" spans="2:3" s="104" customFormat="1" ht="39.75" customHeight="1" thickBot="1" x14ac:dyDescent="0.25">
      <c r="B84" s="105" t="str">
        <f>[2]Catálogo!C87</f>
        <v>Investigación y desarrollo (de mercado); otras actividades profesionales, científicas y técnicas; y actividades veterinarias</v>
      </c>
      <c r="C84" s="102">
        <v>6.542182244023472</v>
      </c>
    </row>
    <row r="85" spans="2:3" s="104" customFormat="1" ht="39.75" customHeight="1" thickBot="1" x14ac:dyDescent="0.25">
      <c r="B85" s="105" t="str">
        <f>[2]Catálogo!C29</f>
        <v>Elaboración y conservación de carne de ganado porcino, productos cárnicos y otros productos de origen animal n.c.p.</v>
      </c>
      <c r="C85" s="102">
        <v>6.4297390770146468</v>
      </c>
    </row>
    <row r="86" spans="2:3" s="104" customFormat="1" ht="39.75" customHeight="1" thickBot="1" x14ac:dyDescent="0.25">
      <c r="B86" s="105" t="str">
        <f>[2]Catálogo!C75</f>
        <v>Edición de libros y otras actividades de edición; actividades de producción de películas cinematográficas, videos y programas de televisión</v>
      </c>
      <c r="C86" s="102">
        <v>5.8085856381609826</v>
      </c>
    </row>
    <row r="87" spans="2:3" s="104" customFormat="1" ht="39.75" customHeight="1" thickBot="1" x14ac:dyDescent="0.25">
      <c r="B87" s="105" t="str">
        <f>[2]Catálogo!C85</f>
        <v>Actividades de arquitectura e ingeniería, ensayos y análisis técnicos</v>
      </c>
      <c r="C87" s="102">
        <v>5.5544895690036622</v>
      </c>
    </row>
    <row r="88" spans="2:3" s="104" customFormat="1" ht="39.75" customHeight="1" thickBot="1" x14ac:dyDescent="0.25">
      <c r="B88" s="105" t="str">
        <f>[2]Catálogo!C72</f>
        <v>Actividades postales y de mensajería</v>
      </c>
      <c r="C88" s="102">
        <v>5.4853486454395908</v>
      </c>
    </row>
    <row r="89" spans="2:3" s="104" customFormat="1" ht="39.75" customHeight="1" thickBot="1" x14ac:dyDescent="0.25">
      <c r="B89" s="105" t="str">
        <f>[2]Catálogo!C112</f>
        <v>Otras actividades de atención de la salud humana (no de mercado)</v>
      </c>
      <c r="C89" s="102">
        <v>5.3150560574304055</v>
      </c>
    </row>
    <row r="90" spans="2:3" s="104" customFormat="1" ht="39.75" customHeight="1" thickBot="1" x14ac:dyDescent="0.25">
      <c r="B90" s="105" t="str">
        <f>[2]Catálogo!C80</f>
        <v>Actividades auxiliares de las actividades de servicios financieros</v>
      </c>
      <c r="C90" s="102">
        <v>4.9067580357708422</v>
      </c>
    </row>
    <row r="91" spans="2:3" s="104" customFormat="1" ht="39.75" customHeight="1" thickBot="1" x14ac:dyDescent="0.25">
      <c r="B91" s="105" t="str">
        <f>[2]Catálogo!C35</f>
        <v>Elaboración de harina de trigo</v>
      </c>
      <c r="C91" s="102">
        <v>3.3653636464708816</v>
      </c>
    </row>
    <row r="92" spans="2:3" s="104" customFormat="1" ht="39.75" customHeight="1" thickBot="1" x14ac:dyDescent="0.25">
      <c r="B92" s="105" t="str">
        <f>[2]Catálogo!C24</f>
        <v>Pesca y acuicultura</v>
      </c>
      <c r="C92" s="102">
        <v>3.1242417681390653</v>
      </c>
    </row>
    <row r="93" spans="2:3" s="104" customFormat="1" ht="39.75" customHeight="1" thickBot="1" x14ac:dyDescent="0.25">
      <c r="B93" s="105" t="str">
        <f>[2]Catálogo!C66</f>
        <v>Construcción de obras de ingeniería civil (de mercado)</v>
      </c>
      <c r="C93" s="102">
        <v>2.5334135192757046</v>
      </c>
    </row>
    <row r="94" spans="2:3" s="104" customFormat="1" ht="39.75" customHeight="1" thickBot="1" x14ac:dyDescent="0.25">
      <c r="B94" s="105" t="str">
        <f>[2]Catálogo!C48</f>
        <v>Aserrado y acepilladura de madera, fabricación de productos de madera y corcho, excepto muebles</v>
      </c>
      <c r="C94" s="102">
        <v>2.3724146642598178</v>
      </c>
    </row>
    <row r="95" spans="2:3" s="104" customFormat="1" ht="39.75" customHeight="1" thickBot="1" x14ac:dyDescent="0.25">
      <c r="B95" s="105" t="str">
        <f>[2]Catálogo!C51</f>
        <v>Fabricación de abonos, compuestos de nitrógeno, plaguicidas y otros productos químicos de uso agropecuario</v>
      </c>
      <c r="C95" s="102">
        <v>2.102895624878609</v>
      </c>
    </row>
    <row r="96" spans="2:3" s="104" customFormat="1" ht="39.75" customHeight="1" thickBot="1" x14ac:dyDescent="0.25">
      <c r="B96" s="105" t="str">
        <f>[2]Catálogo!C42</f>
        <v>Elaboración de alimentos preparados para animales</v>
      </c>
      <c r="C96" s="102">
        <v>1.7380121923858538</v>
      </c>
    </row>
    <row r="97" spans="2:3" s="104" customFormat="1" ht="39.75" customHeight="1" thickBot="1" x14ac:dyDescent="0.25">
      <c r="B97" s="105" t="str">
        <f>[2]Catálogo!C90</f>
        <v>Actividades de agencias de viajes, operadores turísticos, servicios de reservas y actividades conexas</v>
      </c>
      <c r="C97" s="102">
        <v>1.6700165764621129</v>
      </c>
    </row>
    <row r="98" spans="2:3" s="104" customFormat="1" ht="39.75" customHeight="1" thickBot="1" x14ac:dyDescent="0.25">
      <c r="B98" s="105" t="str">
        <f>[2]Catálogo!C36</f>
        <v>Beneficios de arroz</v>
      </c>
      <c r="C98" s="102">
        <v>1.4713737512827658</v>
      </c>
    </row>
    <row r="99" spans="2:3" s="104" customFormat="1" ht="39.75" customHeight="1" thickBot="1" x14ac:dyDescent="0.25">
      <c r="B99" s="105" t="str">
        <f>[2]Catálogo!C31</f>
        <v>Elaboración y conservación de pescado, crustáceos y moluscos</v>
      </c>
      <c r="C99" s="102">
        <v>1.2476005251217825</v>
      </c>
    </row>
    <row r="100" spans="2:3" s="104" customFormat="1" ht="39.75" customHeight="1" thickBot="1" x14ac:dyDescent="0.25">
      <c r="B100" s="105" t="str">
        <f>[2]Catálogo!C113</f>
        <v>Actividades artísticas, de entretenimiento y recreativas (no de mercado)</v>
      </c>
      <c r="C100" s="102">
        <v>1.1011281866268807</v>
      </c>
    </row>
    <row r="101" spans="2:3" s="104" customFormat="1" ht="39.75" customHeight="1" thickBot="1" x14ac:dyDescent="0.25">
      <c r="B101" s="105" t="str">
        <f>[2]Catálogo!C26</f>
        <v>Extracción de minerales metálicos</v>
      </c>
      <c r="C101" s="102">
        <v>0.80705184874792268</v>
      </c>
    </row>
    <row r="102" spans="2:3" s="104" customFormat="1" ht="39.75" customHeight="1" thickBot="1" x14ac:dyDescent="0.25">
      <c r="B102" s="105" t="str">
        <f>[2]Catálogo!C79</f>
        <v>Seguros, reaseguros y fondos de pensiones, excepto planes de seguridad social de afiliación obligatoria</v>
      </c>
      <c r="C102" s="102">
        <v>0.73621870899999975</v>
      </c>
    </row>
    <row r="103" spans="2:3" s="104" customFormat="1" ht="39.75" customHeight="1" thickBot="1" x14ac:dyDescent="0.25">
      <c r="B103" s="105" t="str">
        <f>[2]Catálogo!C25</f>
        <v>Extracción de petróleo crudo y gas natural</v>
      </c>
      <c r="C103" s="102">
        <v>0.60051401161657303</v>
      </c>
    </row>
    <row r="104" spans="2:3" s="104" customFormat="1" ht="39.75" customHeight="1" thickBot="1" x14ac:dyDescent="0.25">
      <c r="B104" s="105" t="str">
        <f>[2]Catálogo!C23</f>
        <v>Silvicultura, extracción de madera y servicios de apoyo a la silvicultura</v>
      </c>
      <c r="C104" s="102">
        <v>0.54023307248402264</v>
      </c>
    </row>
    <row r="105" spans="2:3" s="104" customFormat="1" ht="39.75" customHeight="1" thickBot="1" x14ac:dyDescent="0.25">
      <c r="B105" s="105" t="str">
        <f>[2]Catálogo!C56</f>
        <v>Fabricación de vidrio y productos de vidrio</v>
      </c>
      <c r="C105" s="102">
        <v>0.34862830812621215</v>
      </c>
    </row>
    <row r="106" spans="2:3" s="104" customFormat="1" ht="39.75" customHeight="1" thickBot="1" x14ac:dyDescent="0.25">
      <c r="B106" s="105" t="str">
        <f>[2]Catálogo!C106</f>
        <v>Investigación científica y desarrollo (no de mercado)</v>
      </c>
      <c r="C106" s="102">
        <v>0.15571466783404592</v>
      </c>
    </row>
    <row r="107" spans="2:3" s="104" customFormat="1" ht="39.75" customHeight="1" thickBot="1" x14ac:dyDescent="0.25">
      <c r="B107" s="105" t="str">
        <f>[2]Catálogo!C102</f>
        <v>Construcción de obras de ingeniería civil (para uso final propio)</v>
      </c>
      <c r="C107" s="102">
        <v>0.13183490785622115</v>
      </c>
    </row>
    <row r="108" spans="2:3" s="104" customFormat="1" ht="39.75" customHeight="1" thickBot="1" x14ac:dyDescent="0.25">
      <c r="B108" s="105" t="str">
        <f>[2]Catálogo!C81</f>
        <v>Alquiler de vivienda (de mercado)</v>
      </c>
      <c r="C108" s="102">
        <v>0</v>
      </c>
    </row>
    <row r="109" spans="2:3" s="104" customFormat="1" ht="39.75" customHeight="1" thickBot="1" x14ac:dyDescent="0.25">
      <c r="B109" s="105" t="str">
        <f>[2]Catálogo!C103</f>
        <v>Alquiler de vivienda (para uso final propio)</v>
      </c>
      <c r="C109" s="102">
        <v>0</v>
      </c>
    </row>
    <row r="110" spans="2:3" s="104" customFormat="1" ht="39.75" customHeight="1" thickBot="1" x14ac:dyDescent="0.25">
      <c r="B110" s="105" t="str">
        <f>[2]Catálogo!C104</f>
        <v>Actividades de los hogares como empleadores de personal doméstico (para uso final propio)</v>
      </c>
      <c r="C110" s="102">
        <v>0</v>
      </c>
    </row>
    <row r="111" spans="2:3" x14ac:dyDescent="0.2">
      <c r="B111" s="101" t="s">
        <v>17</v>
      </c>
      <c r="C111" s="102">
        <f>SUM(C6:C110)</f>
        <v>4094.9968139588082</v>
      </c>
    </row>
  </sheetData>
  <sortState xmlns:xlrd2="http://schemas.microsoft.com/office/spreadsheetml/2017/richdata2" ref="B6:C110">
    <sortCondition descending="1" ref="C1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 Ganado bovino</vt:lpstr>
      <vt:lpstr> Ganado bovino (oferta)</vt:lpstr>
      <vt:lpstr> Ganado bovino (demanda)</vt:lpstr>
      <vt:lpstr>Agua</vt:lpstr>
      <vt:lpstr>' Ganado bovino'!Área_de_impresión</vt:lpstr>
      <vt:lpstr>' Ganado bovino (demanda)'!Área_de_impresión</vt:lpstr>
      <vt:lpstr>' Ganado bovino (oferta)'!Área_de_impresión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Ramos</dc:creator>
  <cp:lastModifiedBy>Daniel Ramos</cp:lastModifiedBy>
  <dcterms:created xsi:type="dcterms:W3CDTF">2025-10-16T21:58:04Z</dcterms:created>
  <dcterms:modified xsi:type="dcterms:W3CDTF">2025-11-09T19:21:00Z</dcterms:modified>
</cp:coreProperties>
</file>